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BORRAR\BORRAR.2\pruebas\"/>
    </mc:Choice>
  </mc:AlternateContent>
  <xr:revisionPtr revIDLastSave="0" documentId="13_ncr:1_{FCBE1300-6E51-438E-B90C-95B3DE0507CF}" xr6:coauthVersionLast="47" xr6:coauthVersionMax="47" xr10:uidLastSave="{00000000-0000-0000-0000-000000000000}"/>
  <bookViews>
    <workbookView xWindow="28680" yWindow="270" windowWidth="29040" windowHeight="15840" activeTab="1" xr2:uid="{00000000-000D-0000-FFFF-FFFF00000000}"/>
  </bookViews>
  <sheets>
    <sheet name="DATOS" sheetId="1" r:id="rId1"/>
    <sheet name="GRAFIC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2" l="1"/>
  <c r="C39" i="2"/>
  <c r="D39" i="2"/>
  <c r="E39" i="2"/>
  <c r="F39" i="2"/>
  <c r="G39" i="2"/>
  <c r="H39" i="2"/>
  <c r="I39" i="2"/>
  <c r="J39" i="2"/>
  <c r="K39" i="2"/>
  <c r="L39" i="2"/>
  <c r="M39" i="2"/>
  <c r="B40" i="2"/>
  <c r="C40" i="2"/>
  <c r="D40" i="2"/>
  <c r="E40" i="2"/>
  <c r="F40" i="2"/>
  <c r="G40" i="2"/>
  <c r="H40" i="2"/>
  <c r="I40" i="2"/>
  <c r="J40" i="2"/>
  <c r="K40" i="2"/>
  <c r="L40" i="2"/>
  <c r="M40" i="2"/>
  <c r="B41" i="2"/>
  <c r="C41" i="2"/>
  <c r="D41" i="2"/>
  <c r="E41" i="2"/>
  <c r="F41" i="2"/>
  <c r="G41" i="2"/>
  <c r="H41" i="2"/>
  <c r="I41" i="2"/>
  <c r="J41" i="2"/>
  <c r="K41" i="2"/>
  <c r="L41" i="2"/>
  <c r="M41" i="2"/>
  <c r="B42" i="2"/>
  <c r="C42" i="2"/>
  <c r="D42" i="2"/>
  <c r="E42" i="2"/>
  <c r="F42" i="2"/>
  <c r="G42" i="2"/>
  <c r="H42" i="2"/>
  <c r="I42" i="2"/>
  <c r="J42" i="2"/>
  <c r="K42" i="2"/>
  <c r="L42" i="2"/>
  <c r="M42" i="2"/>
  <c r="B43" i="2"/>
  <c r="C43" i="2"/>
  <c r="D43" i="2"/>
  <c r="E43" i="2"/>
  <c r="F43" i="2"/>
  <c r="G43" i="2"/>
  <c r="H43" i="2"/>
  <c r="I43" i="2"/>
  <c r="J43" i="2"/>
  <c r="K43" i="2"/>
  <c r="L43" i="2"/>
  <c r="M43" i="2"/>
  <c r="B44" i="2"/>
  <c r="C44" i="2"/>
  <c r="D44" i="2"/>
  <c r="E44" i="2"/>
  <c r="F44" i="2"/>
  <c r="G44" i="2"/>
  <c r="H44" i="2"/>
  <c r="I44" i="2"/>
  <c r="J44" i="2"/>
  <c r="K44" i="2"/>
  <c r="L44" i="2"/>
  <c r="M44" i="2"/>
  <c r="B45" i="2"/>
  <c r="C45" i="2"/>
  <c r="D45" i="2"/>
  <c r="E45" i="2"/>
  <c r="F45" i="2"/>
  <c r="G45" i="2"/>
  <c r="H45" i="2"/>
  <c r="I45" i="2"/>
  <c r="J45" i="2"/>
  <c r="K45" i="2"/>
  <c r="L45" i="2"/>
  <c r="M45" i="2"/>
  <c r="B46" i="2"/>
  <c r="C46" i="2"/>
  <c r="D46" i="2"/>
  <c r="E46" i="2"/>
  <c r="F46" i="2"/>
  <c r="G46" i="2"/>
  <c r="H46" i="2"/>
  <c r="I46" i="2"/>
  <c r="J46" i="2"/>
  <c r="K46" i="2"/>
  <c r="L46" i="2"/>
  <c r="M46" i="2"/>
  <c r="B47" i="2"/>
  <c r="C47" i="2"/>
  <c r="D47" i="2"/>
  <c r="E47" i="2"/>
  <c r="F47" i="2"/>
  <c r="G47" i="2"/>
  <c r="H47" i="2"/>
  <c r="I47" i="2"/>
  <c r="J47" i="2"/>
  <c r="K47" i="2"/>
  <c r="L47" i="2"/>
  <c r="M47" i="2"/>
  <c r="B48" i="2"/>
  <c r="C48" i="2"/>
  <c r="D48" i="2"/>
  <c r="E48" i="2"/>
  <c r="F48" i="2"/>
  <c r="G48" i="2"/>
  <c r="H48" i="2"/>
  <c r="I48" i="2"/>
  <c r="J48" i="2"/>
  <c r="K48" i="2"/>
  <c r="L48" i="2"/>
  <c r="M48" i="2"/>
  <c r="B49" i="2"/>
  <c r="C49" i="2"/>
  <c r="D49" i="2"/>
  <c r="E49" i="2"/>
  <c r="F49" i="2"/>
  <c r="G49" i="2"/>
  <c r="H49" i="2"/>
  <c r="I49" i="2"/>
  <c r="J49" i="2"/>
  <c r="K49" i="2"/>
  <c r="L49" i="2"/>
  <c r="M49" i="2"/>
  <c r="B50" i="2"/>
  <c r="C50" i="2"/>
  <c r="D50" i="2"/>
  <c r="E50" i="2"/>
  <c r="F50" i="2"/>
  <c r="G50" i="2"/>
  <c r="H50" i="2"/>
  <c r="I50" i="2"/>
  <c r="J50" i="2"/>
  <c r="K50" i="2"/>
  <c r="L50" i="2"/>
  <c r="M50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/>
  <c r="D52" i="2"/>
  <c r="E52" i="2"/>
  <c r="F52" i="2"/>
  <c r="G52" i="2"/>
  <c r="H52" i="2"/>
  <c r="I52" i="2"/>
  <c r="J52" i="2"/>
  <c r="K52" i="2"/>
  <c r="L52" i="2"/>
  <c r="M52" i="2"/>
  <c r="B53" i="2"/>
  <c r="C53" i="2"/>
  <c r="D53" i="2"/>
  <c r="E53" i="2"/>
  <c r="F53" i="2"/>
  <c r="G53" i="2"/>
  <c r="H53" i="2"/>
  <c r="I53" i="2"/>
  <c r="J53" i="2"/>
  <c r="K53" i="2"/>
  <c r="L53" i="2"/>
  <c r="M53" i="2"/>
  <c r="B54" i="2"/>
  <c r="C54" i="2"/>
  <c r="D54" i="2"/>
  <c r="E54" i="2"/>
  <c r="F54" i="2"/>
  <c r="G54" i="2"/>
  <c r="H54" i="2"/>
  <c r="I54" i="2"/>
  <c r="J54" i="2"/>
  <c r="K54" i="2"/>
  <c r="L54" i="2"/>
  <c r="M54" i="2"/>
  <c r="B55" i="2"/>
  <c r="C55" i="2"/>
  <c r="D55" i="2"/>
  <c r="E55" i="2"/>
  <c r="F55" i="2"/>
  <c r="G55" i="2"/>
  <c r="H55" i="2"/>
  <c r="I55" i="2"/>
  <c r="J55" i="2"/>
  <c r="K55" i="2"/>
  <c r="L55" i="2"/>
  <c r="M55" i="2"/>
  <c r="B56" i="2"/>
  <c r="C56" i="2"/>
  <c r="D56" i="2"/>
  <c r="E56" i="2"/>
  <c r="F56" i="2"/>
  <c r="G56" i="2"/>
  <c r="H56" i="2"/>
  <c r="I56" i="2"/>
  <c r="J56" i="2"/>
  <c r="K56" i="2"/>
  <c r="L56" i="2"/>
  <c r="M56" i="2"/>
  <c r="B57" i="2"/>
  <c r="C57" i="2"/>
  <c r="D57" i="2"/>
  <c r="E57" i="2"/>
  <c r="F57" i="2"/>
  <c r="G57" i="2"/>
  <c r="H57" i="2"/>
  <c r="I57" i="2"/>
  <c r="J57" i="2"/>
  <c r="K57" i="2"/>
  <c r="L57" i="2"/>
  <c r="M57" i="2"/>
  <c r="B58" i="2"/>
  <c r="C58" i="2"/>
  <c r="D58" i="2"/>
  <c r="E58" i="2"/>
  <c r="F58" i="2"/>
  <c r="G58" i="2"/>
  <c r="H58" i="2"/>
  <c r="I58" i="2"/>
  <c r="J58" i="2"/>
  <c r="K58" i="2"/>
  <c r="L58" i="2"/>
  <c r="M58" i="2"/>
  <c r="B59" i="2"/>
  <c r="C59" i="2"/>
  <c r="D59" i="2"/>
  <c r="E59" i="2"/>
  <c r="F59" i="2"/>
  <c r="G59" i="2"/>
  <c r="H59" i="2"/>
  <c r="I59" i="2"/>
  <c r="J59" i="2"/>
  <c r="K59" i="2"/>
  <c r="L59" i="2"/>
  <c r="M59" i="2"/>
  <c r="B60" i="2"/>
  <c r="C60" i="2"/>
  <c r="D60" i="2"/>
  <c r="E60" i="2"/>
  <c r="F60" i="2"/>
  <c r="G60" i="2"/>
  <c r="H60" i="2"/>
  <c r="I60" i="2"/>
  <c r="J60" i="2"/>
  <c r="K60" i="2"/>
  <c r="L60" i="2"/>
  <c r="M60" i="2"/>
  <c r="B61" i="2"/>
  <c r="C61" i="2"/>
  <c r="D61" i="2"/>
  <c r="E61" i="2"/>
  <c r="F61" i="2"/>
  <c r="G61" i="2"/>
  <c r="H61" i="2"/>
  <c r="I61" i="2"/>
  <c r="J61" i="2"/>
  <c r="K61" i="2"/>
  <c r="L61" i="2"/>
  <c r="M61" i="2"/>
  <c r="C38" i="2"/>
  <c r="D38" i="2"/>
  <c r="E38" i="2"/>
  <c r="F38" i="2"/>
  <c r="G38" i="2"/>
  <c r="H38" i="2"/>
  <c r="I38" i="2"/>
  <c r="J38" i="2"/>
  <c r="K38" i="2"/>
  <c r="L38" i="2"/>
  <c r="M38" i="2"/>
  <c r="B38" i="2"/>
  <c r="C153" i="2"/>
  <c r="D153" i="2"/>
  <c r="E153" i="2"/>
  <c r="F153" i="2"/>
  <c r="G153" i="2"/>
  <c r="H153" i="2"/>
  <c r="I153" i="2"/>
  <c r="J153" i="2"/>
  <c r="K153" i="2"/>
  <c r="L153" i="2"/>
  <c r="M153" i="2"/>
  <c r="C154" i="2"/>
  <c r="D154" i="2"/>
  <c r="E154" i="2"/>
  <c r="F154" i="2"/>
  <c r="G154" i="2"/>
  <c r="H154" i="2"/>
  <c r="I154" i="2"/>
  <c r="J154" i="2"/>
  <c r="K154" i="2"/>
  <c r="L154" i="2"/>
  <c r="M154" i="2"/>
  <c r="C155" i="2"/>
  <c r="D155" i="2"/>
  <c r="E155" i="2"/>
  <c r="F155" i="2"/>
  <c r="G155" i="2"/>
  <c r="H155" i="2"/>
  <c r="I155" i="2"/>
  <c r="J155" i="2"/>
  <c r="K155" i="2"/>
  <c r="L155" i="2"/>
  <c r="M155" i="2"/>
  <c r="C156" i="2"/>
  <c r="D156" i="2"/>
  <c r="E156" i="2"/>
  <c r="F156" i="2"/>
  <c r="G156" i="2"/>
  <c r="H156" i="2"/>
  <c r="I156" i="2"/>
  <c r="J156" i="2"/>
  <c r="K156" i="2"/>
  <c r="L156" i="2"/>
  <c r="M156" i="2"/>
  <c r="C157" i="2"/>
  <c r="D157" i="2"/>
  <c r="E157" i="2"/>
  <c r="F157" i="2"/>
  <c r="G157" i="2"/>
  <c r="H157" i="2"/>
  <c r="I157" i="2"/>
  <c r="J157" i="2"/>
  <c r="K157" i="2"/>
  <c r="L157" i="2"/>
  <c r="M157" i="2"/>
  <c r="C158" i="2"/>
  <c r="D158" i="2"/>
  <c r="E158" i="2"/>
  <c r="F158" i="2"/>
  <c r="G158" i="2"/>
  <c r="H158" i="2"/>
  <c r="I158" i="2"/>
  <c r="J158" i="2"/>
  <c r="K158" i="2"/>
  <c r="L158" i="2"/>
  <c r="M158" i="2"/>
  <c r="C159" i="2"/>
  <c r="D159" i="2"/>
  <c r="E159" i="2"/>
  <c r="F159" i="2"/>
  <c r="G159" i="2"/>
  <c r="H159" i="2"/>
  <c r="I159" i="2"/>
  <c r="J159" i="2"/>
  <c r="K159" i="2"/>
  <c r="L159" i="2"/>
  <c r="M159" i="2"/>
  <c r="C160" i="2"/>
  <c r="D160" i="2"/>
  <c r="E160" i="2"/>
  <c r="F160" i="2"/>
  <c r="G160" i="2"/>
  <c r="H160" i="2"/>
  <c r="I160" i="2"/>
  <c r="J160" i="2"/>
  <c r="K160" i="2"/>
  <c r="L160" i="2"/>
  <c r="M160" i="2"/>
  <c r="C161" i="2"/>
  <c r="D161" i="2"/>
  <c r="E161" i="2"/>
  <c r="F161" i="2"/>
  <c r="G161" i="2"/>
  <c r="H161" i="2"/>
  <c r="I161" i="2"/>
  <c r="J161" i="2"/>
  <c r="K161" i="2"/>
  <c r="L161" i="2"/>
  <c r="M161" i="2"/>
  <c r="C162" i="2"/>
  <c r="D162" i="2"/>
  <c r="E162" i="2"/>
  <c r="F162" i="2"/>
  <c r="G162" i="2"/>
  <c r="H162" i="2"/>
  <c r="I162" i="2"/>
  <c r="J162" i="2"/>
  <c r="K162" i="2"/>
  <c r="L162" i="2"/>
  <c r="M162" i="2"/>
  <c r="C163" i="2"/>
  <c r="D163" i="2"/>
  <c r="E163" i="2"/>
  <c r="F163" i="2"/>
  <c r="G163" i="2"/>
  <c r="H163" i="2"/>
  <c r="I163" i="2"/>
  <c r="J163" i="2"/>
  <c r="K163" i="2"/>
  <c r="L163" i="2"/>
  <c r="M163" i="2"/>
  <c r="C164" i="2"/>
  <c r="D164" i="2"/>
  <c r="E164" i="2"/>
  <c r="F164" i="2"/>
  <c r="G164" i="2"/>
  <c r="H164" i="2"/>
  <c r="I164" i="2"/>
  <c r="J164" i="2"/>
  <c r="K164" i="2"/>
  <c r="L164" i="2"/>
  <c r="M164" i="2"/>
  <c r="C165" i="2"/>
  <c r="D165" i="2"/>
  <c r="E165" i="2"/>
  <c r="F165" i="2"/>
  <c r="G165" i="2"/>
  <c r="H165" i="2"/>
  <c r="I165" i="2"/>
  <c r="J165" i="2"/>
  <c r="K165" i="2"/>
  <c r="L165" i="2"/>
  <c r="M165" i="2"/>
  <c r="C166" i="2"/>
  <c r="D166" i="2"/>
  <c r="E166" i="2"/>
  <c r="F166" i="2"/>
  <c r="G166" i="2"/>
  <c r="H166" i="2"/>
  <c r="I166" i="2"/>
  <c r="J166" i="2"/>
  <c r="K166" i="2"/>
  <c r="L166" i="2"/>
  <c r="M166" i="2"/>
  <c r="C167" i="2"/>
  <c r="D167" i="2"/>
  <c r="E167" i="2"/>
  <c r="F167" i="2"/>
  <c r="G167" i="2"/>
  <c r="H167" i="2"/>
  <c r="I167" i="2"/>
  <c r="J167" i="2"/>
  <c r="K167" i="2"/>
  <c r="L167" i="2"/>
  <c r="M167" i="2"/>
  <c r="C168" i="2"/>
  <c r="D168" i="2"/>
  <c r="E168" i="2"/>
  <c r="F168" i="2"/>
  <c r="G168" i="2"/>
  <c r="H168" i="2"/>
  <c r="I168" i="2"/>
  <c r="J168" i="2"/>
  <c r="K168" i="2"/>
  <c r="L168" i="2"/>
  <c r="M168" i="2"/>
  <c r="C169" i="2"/>
  <c r="D169" i="2"/>
  <c r="E169" i="2"/>
  <c r="F169" i="2"/>
  <c r="G169" i="2"/>
  <c r="H169" i="2"/>
  <c r="I169" i="2"/>
  <c r="J169" i="2"/>
  <c r="K169" i="2"/>
  <c r="L169" i="2"/>
  <c r="M169" i="2"/>
  <c r="C170" i="2"/>
  <c r="D170" i="2"/>
  <c r="E170" i="2"/>
  <c r="F170" i="2"/>
  <c r="G170" i="2"/>
  <c r="H170" i="2"/>
  <c r="I170" i="2"/>
  <c r="J170" i="2"/>
  <c r="K170" i="2"/>
  <c r="L170" i="2"/>
  <c r="M170" i="2"/>
  <c r="C171" i="2"/>
  <c r="D171" i="2"/>
  <c r="E171" i="2"/>
  <c r="F171" i="2"/>
  <c r="G171" i="2"/>
  <c r="H171" i="2"/>
  <c r="I171" i="2"/>
  <c r="J171" i="2"/>
  <c r="K171" i="2"/>
  <c r="L171" i="2"/>
  <c r="M171" i="2"/>
  <c r="C172" i="2"/>
  <c r="D172" i="2"/>
  <c r="E172" i="2"/>
  <c r="F172" i="2"/>
  <c r="G172" i="2"/>
  <c r="H172" i="2"/>
  <c r="I172" i="2"/>
  <c r="J172" i="2"/>
  <c r="K172" i="2"/>
  <c r="L172" i="2"/>
  <c r="M172" i="2"/>
  <c r="C173" i="2"/>
  <c r="D173" i="2"/>
  <c r="E173" i="2"/>
  <c r="F173" i="2"/>
  <c r="G173" i="2"/>
  <c r="H173" i="2"/>
  <c r="I173" i="2"/>
  <c r="J173" i="2"/>
  <c r="K173" i="2"/>
  <c r="L173" i="2"/>
  <c r="M173" i="2"/>
  <c r="C174" i="2"/>
  <c r="D174" i="2"/>
  <c r="E174" i="2"/>
  <c r="F174" i="2"/>
  <c r="G174" i="2"/>
  <c r="H174" i="2"/>
  <c r="I174" i="2"/>
  <c r="J174" i="2"/>
  <c r="K174" i="2"/>
  <c r="L174" i="2"/>
  <c r="M174" i="2"/>
  <c r="C175" i="2"/>
  <c r="D175" i="2"/>
  <c r="E175" i="2"/>
  <c r="F175" i="2"/>
  <c r="G175" i="2"/>
  <c r="H175" i="2"/>
  <c r="I175" i="2"/>
  <c r="J175" i="2"/>
  <c r="K175" i="2"/>
  <c r="L175" i="2"/>
  <c r="M175" i="2"/>
  <c r="C176" i="2"/>
  <c r="D176" i="2"/>
  <c r="E176" i="2"/>
  <c r="F176" i="2"/>
  <c r="G176" i="2"/>
  <c r="H176" i="2"/>
  <c r="I176" i="2"/>
  <c r="J176" i="2"/>
  <c r="K176" i="2"/>
  <c r="L176" i="2"/>
  <c r="M176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53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196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D180" i="2"/>
  <c r="E180" i="2"/>
  <c r="F180" i="2"/>
  <c r="G180" i="2"/>
  <c r="H180" i="2"/>
  <c r="D181" i="2"/>
  <c r="E181" i="2"/>
  <c r="F181" i="2"/>
  <c r="G181" i="2"/>
  <c r="H181" i="2"/>
  <c r="D182" i="2"/>
  <c r="E182" i="2"/>
  <c r="F182" i="2"/>
  <c r="G182" i="2"/>
  <c r="H182" i="2"/>
  <c r="D183" i="2"/>
  <c r="E183" i="2"/>
  <c r="F183" i="2"/>
  <c r="G183" i="2"/>
  <c r="H183" i="2"/>
  <c r="D184" i="2"/>
  <c r="E184" i="2"/>
  <c r="F184" i="2"/>
  <c r="G184" i="2"/>
  <c r="H184" i="2"/>
  <c r="D185" i="2"/>
  <c r="E185" i="2"/>
  <c r="F185" i="2"/>
  <c r="G185" i="2"/>
  <c r="H185" i="2"/>
  <c r="D186" i="2"/>
  <c r="E186" i="2"/>
  <c r="F186" i="2"/>
  <c r="G186" i="2"/>
  <c r="H186" i="2"/>
  <c r="D187" i="2"/>
  <c r="E187" i="2"/>
  <c r="F187" i="2"/>
  <c r="G187" i="2"/>
  <c r="H187" i="2"/>
  <c r="D188" i="2"/>
  <c r="E188" i="2"/>
  <c r="F188" i="2"/>
  <c r="G188" i="2"/>
  <c r="H188" i="2"/>
  <c r="D189" i="2"/>
  <c r="E189" i="2"/>
  <c r="F189" i="2"/>
  <c r="G189" i="2"/>
  <c r="H189" i="2"/>
  <c r="D190" i="2"/>
  <c r="E190" i="2"/>
  <c r="F190" i="2"/>
  <c r="G190" i="2"/>
  <c r="H190" i="2"/>
  <c r="D191" i="2"/>
  <c r="E191" i="2"/>
  <c r="F191" i="2"/>
  <c r="G191" i="2"/>
  <c r="H191" i="2"/>
  <c r="C181" i="2"/>
  <c r="C182" i="2"/>
  <c r="C183" i="2"/>
  <c r="C184" i="2"/>
  <c r="C185" i="2"/>
  <c r="C186" i="2"/>
  <c r="C187" i="2"/>
  <c r="C188" i="2"/>
  <c r="C189" i="2"/>
  <c r="C190" i="2"/>
  <c r="C191" i="2"/>
  <c r="C180" i="2"/>
  <c r="E75" i="2"/>
  <c r="E76" i="2"/>
  <c r="E77" i="2"/>
  <c r="E78" i="2"/>
  <c r="E79" i="2"/>
  <c r="E80" i="2"/>
  <c r="E81" i="2"/>
  <c r="E82" i="2"/>
  <c r="E83" i="2"/>
  <c r="E84" i="2"/>
  <c r="E85" i="2"/>
  <c r="E74" i="2"/>
  <c r="C75" i="2"/>
  <c r="C76" i="2"/>
  <c r="C77" i="2"/>
  <c r="C78" i="2"/>
  <c r="C79" i="2"/>
  <c r="C80" i="2"/>
  <c r="C81" i="2"/>
  <c r="C82" i="2"/>
  <c r="C83" i="2"/>
  <c r="C84" i="2"/>
  <c r="C85" i="2"/>
  <c r="C74" i="2"/>
  <c r="E71" i="2"/>
  <c r="E69" i="2"/>
  <c r="E68" i="2"/>
  <c r="E67" i="2"/>
  <c r="E66" i="2"/>
  <c r="C254" i="2"/>
  <c r="B254" i="2"/>
  <c r="C220" i="2" l="1"/>
  <c r="B220" i="2"/>
  <c r="C192" i="2"/>
  <c r="D192" i="2"/>
</calcChain>
</file>

<file path=xl/sharedStrings.xml><?xml version="1.0" encoding="utf-8"?>
<sst xmlns="http://schemas.openxmlformats.org/spreadsheetml/2006/main" count="216" uniqueCount="109">
  <si>
    <t>INFORME ESTUDIO FV · INARSE — Datos base para gráficas y tablas</t>
  </si>
  <si>
    <t>BLOQUE 1. INDICADORES PRINCIPALES</t>
  </si>
  <si>
    <t>Indicador</t>
  </si>
  <si>
    <t>Valor</t>
  </si>
  <si>
    <t>Unidad</t>
  </si>
  <si>
    <t>Energía anual producida</t>
  </si>
  <si>
    <t>kWh</t>
  </si>
  <si>
    <t>MWh</t>
  </si>
  <si>
    <t>Producción media por hora</t>
  </si>
  <si>
    <t>kWh/h</t>
  </si>
  <si>
    <t>Pico horario</t>
  </si>
  <si>
    <t>Fecha/hora del pico</t>
  </si>
  <si>
    <t>01-26 10:00</t>
  </si>
  <si>
    <t>Mejor mes (mayor producción)</t>
  </si>
  <si>
    <t>Enero</t>
  </si>
  <si>
    <t>Consumo anual</t>
  </si>
  <si>
    <t>Balance neto anual</t>
  </si>
  <si>
    <t>Cobertura de la demanda</t>
  </si>
  <si>
    <t>%</t>
  </si>
  <si>
    <t>Excedente potencial</t>
  </si>
  <si>
    <t>BLOQUE 2. PRODUCCIÓN MENSUAL</t>
  </si>
  <si>
    <t>Mes</t>
  </si>
  <si>
    <t>Producción (kWh)</t>
  </si>
  <si>
    <t>% anual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</si>
  <si>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</si>
  <si>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</si>
  <si>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</si>
  <si>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</si>
  <si>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</si>
  <si>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</si>
  <si>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</si>
  <si>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</si>
  <si>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</si>
  <si>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</si>
  <si>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</si>
  <si>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</si>
  <si>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BLOQUE 3. CONSUMO MENSUAL</t>
  </si>
  <si>
    <t>Consumo (kWh)</t>
  </si>
  <si>
    <t>Consumo (MWh)</t>
  </si>
  <si>
    <t>BLOQUE 4. BALANCE MENSUAL</t>
  </si>
  <si>
    <t>Producción (MWh)</t>
  </si>
  <si>
    <t>Balance (MWh)</t>
  </si>
  <si>
    <t>Solar directo (MWh)</t>
  </si>
  <si>
    <t>Excedente (MWh)</t>
  </si>
  <si>
    <t>Déficit (MWh)</t>
  </si>
  <si>
    <t>Cobertura (%)</t>
  </si>
  <si>
    <t>BLOQUE 5. PERFIL HORARIO COMPARATIVO (MEDIA ANUAL)</t>
  </si>
  <si>
    <t>Hora</t>
  </si>
  <si>
    <t>Prod. media (kWh/h)</t>
  </si>
  <si>
    <t>Cons. media (kWh/h)</t>
  </si>
  <si>
    <t>Balance medio (kWh/h)</t>
  </si>
  <si>
    <t>Cobertura media (%)</t>
  </si>
  <si>
    <t>BLOQUE 6. TOP 10 DÍAS DE MAYOR PRODUCCIÓN</t>
  </si>
  <si>
    <t>Nº</t>
  </si>
  <si>
    <t>Fecha</t>
  </si>
  <si>
    <t>01-27</t>
  </si>
  <si>
    <t>01-23</t>
  </si>
  <si>
    <t>01-21</t>
  </si>
  <si>
    <t>01-26</t>
  </si>
  <si>
    <t>02-19</t>
  </si>
  <si>
    <t>03-05</t>
  </si>
  <si>
    <t>01-02</t>
  </si>
  <si>
    <t>03-09</t>
  </si>
  <si>
    <t>04-02</t>
  </si>
  <si>
    <t>02-13</t>
  </si>
  <si>
    <t>BLOQUE 7. MAPA BALANCE MEDIO HORA×MES (kWh/h)</t>
  </si>
  <si>
    <t>Mejor 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</si>
  <si>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</si>
  <si>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</si>
  <si>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</si>
  <si>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</si>
  <si>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</si>
  <si>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</si>
  <si>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</si>
  <si>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</si>
  <si>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</si>
  <si>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</si>
  <si>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</si>
  <si>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</si>
  <si>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Producción mensual</t>
  </si>
  <si>
    <t>Top 10 días</t>
  </si>
  <si>
    <t>Mapa mes-hora</t>
  </si>
  <si>
    <t>Mapa de calor: filas = hora del día; columnas = mes; valores en kWh medios por hora.</t>
  </si>
  <si>
    <t>Energía anual media (kWh)</t>
  </si>
  <si>
    <t>Energía anual media (MWh)</t>
  </si>
  <si>
    <t>Producción media por hora (kWh)</t>
  </si>
  <si>
    <t>Pico horario (kWh)</t>
  </si>
  <si>
    <t>02-07 10:00</t>
  </si>
  <si>
    <t>Nombre</t>
  </si>
  <si>
    <t>Energía media (kWh)</t>
  </si>
  <si>
    <t>Producción vs consumo mensual</t>
  </si>
  <si>
    <t>Balance mensual</t>
  </si>
  <si>
    <t>Perfil horario medio</t>
  </si>
  <si>
    <t>Cobertura demanda (%)</t>
  </si>
  <si>
    <t>Curva consumo (kWh/día)</t>
  </si>
  <si>
    <t>% del consumo diario</t>
  </si>
  <si>
    <t>BLOQUE 8. MAPA GENERACIÓN MEDIA HORA×MES (kWh/h)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</si>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</sst>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#,##0.000"/>
  </numFmts>
  <fonts count="9" x14ac:knownFonts="1">
    <font>
      <sz val="11"/>
      <name val="Calibri"/>
    </font>
    <font>
      <sz val="11"/>
      <name val="Calibri"/>
    </font>
    <font>
      <b/>
      <sz val="12"/>
      <color rgb="FFFFFFFF"/>
      <name val="Carlito"/>
      <family val="2"/>
    </font>
    <font>
      <b/>
      <sz val="11"/>
      <color rgb="FFFFFFFF"/>
      <name val="Carlito"/>
      <family val="2"/>
    </font>
    <font>
      <i/>
      <sz val="11"/>
      <color rgb="FF64748B"/>
      <name val="Carlito"/>
      <family val="2"/>
    </font>
    <font>
      <b/>
      <sz val="11"/>
      <color rgb="FF111827"/>
      <name val="Carlito"/>
      <family val="2"/>
    </font>
    <font>
      <sz val="11"/>
      <name val="Carlito"/>
      <family val="2"/>
    </font>
    <font>
      <sz val="8"/>
      <name val="Calibri"/>
      <family val="2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2B57"/>
        <bgColor indexed="64"/>
      </patternFill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F1F5F9"/>
      </patternFill>
    </fill>
    <fill>
      <patternFill patternType="solid">
        <fgColor theme="0"/>
        <bgColor indexed="64"/>
      </patternFill>
    </fill>
    <fill>
      <patternFill patternType="solid">
        <fgColor rgb="FFE2E8F0"/>
      </patternFill>
    </fill>
    <fill>
      <patternFill patternType="solid">
        <fgColor rgb="FF0B1F33"/>
      </patternFill>
    </fill>
  </fills>
  <borders count="2">
    <border>
      <left/>
      <right/>
      <top/>
      <bottom/>
      <diagonal/>
    </border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4" borderId="0" xfId="0" applyFont="1" applyFill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0" xfId="0" applyNumberFormat="1"/>
    <xf numFmtId="165" fontId="0" fillId="6" borderId="0" xfId="0" applyNumberFormat="1" applyFill="1" applyAlignment="1">
      <alignment horizontal="center"/>
    </xf>
    <xf numFmtId="0" fontId="3" fillId="8" borderId="0" xfId="0" applyFont="1" applyFill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2" fontId="0" fillId="0" borderId="0" xfId="0" applyNumberFormat="1"/>
    <xf numFmtId="9" fontId="0" fillId="0" borderId="0" xfId="1" applyFont="1"/>
    <xf numFmtId="3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5" fillId="7" borderId="0" xfId="0" applyFont="1" applyFill="1" applyAlignment="1">
      <alignment horizontal="center" vertical="center" wrapText="1"/>
    </xf>
    <xf numFmtId="0" fontId="0" fillId="0" borderId="0" xfId="0"/>
    <xf numFmtId="4" fontId="0" fillId="6" borderId="0" xfId="0" applyNumberForma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0" fillId="6" borderId="0" xfId="0" applyFill="1" applyAlignment="1">
      <alignment horizontal="left"/>
    </xf>
    <xf numFmtId="0" fontId="5" fillId="5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/>
    </xf>
    <xf numFmtId="0" fontId="8" fillId="2" borderId="1" xfId="0" applyFont="1" applyFill="1" applyBorder="1"/>
  </cellXfs>
  <cellStyles count="2">
    <cellStyle name="Normal" xfId="0" builtinId="0"/>
    <cellStyle name="Porcentaje" xfId="1" builtinId="5"/>
  </cellStyles>
  <dxfs count="24">
    <dxf>
      <numFmt numFmtId="4" formatCode="#,##0.00"/>
      <alignment horizontal="center" vertical="bottom" textRotation="0" wrapText="0" indent="0" justifyLastLine="0" shrinkToFit="0" readingOrder="0"/>
    </dxf>
    <dxf>
      <numFmt numFmtId="164" formatCode="#,##0.0"/>
    </dxf>
    <dxf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#,##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/>
              <a:t>Energía mensual (KWh)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DATOS!$A$18:$A$29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DATOS!$B$18:$B$29</c:f>
              <c:numCache>
                <c:formatCode>General</c:formatCode>
                <c:ptCount val="12"/>
                <c:pt idx="0">
                  <c:v>261319.60799999998</c:v>
                </c:pt>
                <c:pt idx="1">
                  <c:v>233853.22270588236</c:v>
                </c:pt>
                <c:pt idx="2">
                  <c:v>246783.54176470599</c:v>
                </c:pt>
                <c:pt idx="3">
                  <c:v>230884.85117647058</c:v>
                </c:pt>
                <c:pt idx="4">
                  <c:v>231485.83835294101</c:v>
                </c:pt>
                <c:pt idx="5">
                  <c:v>206121.2802352939</c:v>
                </c:pt>
                <c:pt idx="6">
                  <c:v>210180.62223529414</c:v>
                </c:pt>
                <c:pt idx="7">
                  <c:v>215263.02070588231</c:v>
                </c:pt>
                <c:pt idx="8">
                  <c:v>224216.93329411765</c:v>
                </c:pt>
                <c:pt idx="9">
                  <c:v>236645.67917647061</c:v>
                </c:pt>
                <c:pt idx="10">
                  <c:v>228947.94741176473</c:v>
                </c:pt>
                <c:pt idx="11">
                  <c:v>244138.38564705875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A-487C-9267-03F6DDAB5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KWh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/>
              <a:t>Top 10 días de mayor producción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DATOS!$B$93:$B$102</c:f>
              <c:strCache>
                <c:ptCount val="10"/>
                <c:pt idx="0">
                  <c:v>01-27</c:v>
                </c:pt>
                <c:pt idx="1">
                  <c:v>01-23</c:v>
                </c:pt>
                <c:pt idx="2">
                  <c:v>01-21</c:v>
                </c:pt>
                <c:pt idx="3">
                  <c:v>01-26</c:v>
                </c:pt>
                <c:pt idx="4">
                  <c:v>02-19</c:v>
                </c:pt>
                <c:pt idx="5">
                  <c:v>03-05</c:v>
                </c:pt>
                <c:pt idx="6">
                  <c:v>01-02</c:v>
                </c:pt>
                <c:pt idx="7">
                  <c:v>03-09</c:v>
                </c:pt>
                <c:pt idx="8">
                  <c:v>04-02</c:v>
                </c:pt>
                <c:pt idx="9">
                  <c:v>02-13</c:v>
                </c:pt>
              </c:strCache>
            </c:strRef>
          </c:cat>
          <c:val>
            <c:numRef>
              <c:f>DATOS!$C$93:$C$102</c:f>
              <c:numCache>
                <c:formatCode>General</c:formatCode>
                <c:ptCount val="10"/>
                <c:pt idx="0">
                  <c:v>9113.6096470588236</c:v>
                </c:pt>
                <c:pt idx="1">
                  <c:v>9108.6765882352956</c:v>
                </c:pt>
                <c:pt idx="2">
                  <c:v>9072.0942352941183</c:v>
                </c:pt>
                <c:pt idx="3">
                  <c:v>9064.1752941176455</c:v>
                </c:pt>
                <c:pt idx="4">
                  <c:v>9011.0837647058834</c:v>
                </c:pt>
                <c:pt idx="5">
                  <c:v>9001.3298823529421</c:v>
                </c:pt>
                <c:pt idx="6">
                  <c:v>8972.6971764705886</c:v>
                </c:pt>
                <c:pt idx="7">
                  <c:v>8940.6021176470604</c:v>
                </c:pt>
                <c:pt idx="8">
                  <c:v>8922.9017647058827</c:v>
                </c:pt>
                <c:pt idx="9">
                  <c:v>8921.3579999999984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E-4655-8C02-01BB3F7B2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kWh/día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DATOS!$B$49</c:f>
              <c:strCache>
                <c:ptCount val="1"/>
                <c:pt idx="0">
                  <c:v>Producción (MWh)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DATOS!$A$50:$A$61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DATOS!$B$50:$B$61</c:f>
              <c:numCache>
                <c:formatCode>General</c:formatCode>
                <c:ptCount val="12"/>
                <c:pt idx="0">
                  <c:v>261.31960799999996</c:v>
                </c:pt>
                <c:pt idx="1">
                  <c:v>233.85322270588236</c:v>
                </c:pt>
                <c:pt idx="2">
                  <c:v>246.783541764706</c:v>
                </c:pt>
                <c:pt idx="3">
                  <c:v>230.88485117647059</c:v>
                </c:pt>
                <c:pt idx="4">
                  <c:v>231.48583835294102</c:v>
                </c:pt>
                <c:pt idx="5">
                  <c:v>206.12128023529391</c:v>
                </c:pt>
                <c:pt idx="6">
                  <c:v>210.18062223529415</c:v>
                </c:pt>
                <c:pt idx="7">
                  <c:v>215.26302070588233</c:v>
                </c:pt>
                <c:pt idx="8">
                  <c:v>224.21693329411767</c:v>
                </c:pt>
                <c:pt idx="9">
                  <c:v>236.64567917647062</c:v>
                </c:pt>
                <c:pt idx="10">
                  <c:v>228.94794741176474</c:v>
                </c:pt>
                <c:pt idx="11">
                  <c:v>244.13838564705875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0-4E8B-AE5E-4536C0699EDA}"/>
            </c:ext>
          </c:extLst>
        </c:ser>
        <c:ser>
          <c:idx val="1"/>
          <c:order val="1"/>
          <c:tx>
            <c:strRef>
              <c:f>DATOS!$C$49</c:f>
              <c:strCache>
                <c:ptCount val="1"/>
                <c:pt idx="0">
                  <c:v>Consumo (MWh)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DATOS!$A$50:$A$61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DATOS!$C$50:$C$61</c:f>
              <c:numCache>
                <c:formatCode>General</c:formatCode>
                <c:ptCount val="12"/>
                <c:pt idx="0">
                  <c:v>223.40456373999501</c:v>
                </c:pt>
                <c:pt idx="1">
                  <c:v>200.83799607999563</c:v>
                </c:pt>
                <c:pt idx="2">
                  <c:v>223.40456373999504</c:v>
                </c:pt>
                <c:pt idx="3">
                  <c:v>213.43654899999564</c:v>
                </c:pt>
                <c:pt idx="4">
                  <c:v>223.40456373999501</c:v>
                </c:pt>
                <c:pt idx="5">
                  <c:v>215.88237451999524</c:v>
                </c:pt>
                <c:pt idx="6">
                  <c:v>220.95873821999544</c:v>
                </c:pt>
                <c:pt idx="7">
                  <c:v>223.40456373999501</c:v>
                </c:pt>
                <c:pt idx="8">
                  <c:v>213.43654899999564</c:v>
                </c:pt>
                <c:pt idx="9">
                  <c:v>223.40456373999501</c:v>
                </c:pt>
                <c:pt idx="10">
                  <c:v>215.88237451999524</c:v>
                </c:pt>
                <c:pt idx="11">
                  <c:v>220.95873821999544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20-4E8B-AE5E-4536C0699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DATOS!$D$49</c:f>
              <c:strCache>
                <c:ptCount val="1"/>
                <c:pt idx="0">
                  <c:v>Balance (MWh)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DATOS!$A$50:$A$61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DATOS!$D$50:$D$61</c:f>
              <c:numCache>
                <c:formatCode>General</c:formatCode>
                <c:ptCount val="12"/>
                <c:pt idx="0">
                  <c:v>37.91504426000467</c:v>
                </c:pt>
                <c:pt idx="1">
                  <c:v>33.015226625886427</c:v>
                </c:pt>
                <c:pt idx="2">
                  <c:v>23.378978024710513</c:v>
                </c:pt>
                <c:pt idx="3">
                  <c:v>17.448302176474566</c:v>
                </c:pt>
                <c:pt idx="4">
                  <c:v>8.0812746129457924</c:v>
                </c:pt>
                <c:pt idx="5">
                  <c:v>-9.7610942847014837</c:v>
                </c:pt>
                <c:pt idx="6">
                  <c:v>-10.77811598470168</c:v>
                </c:pt>
                <c:pt idx="7">
                  <c:v>-8.1415430341130524</c:v>
                </c:pt>
                <c:pt idx="8">
                  <c:v>10.780384294121674</c:v>
                </c:pt>
                <c:pt idx="9">
                  <c:v>13.241115436475202</c:v>
                </c:pt>
                <c:pt idx="10">
                  <c:v>13.065572891769113</c:v>
                </c:pt>
                <c:pt idx="11">
                  <c:v>23.17964742706306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1-4818-A87C-EF08A08D1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1"/>
          <c:order val="1"/>
          <c:tx>
            <c:strRef>
              <c:f>DATOS!$B$65</c:f>
              <c:strCache>
                <c:ptCount val="1"/>
                <c:pt idx="0">
                  <c:v>Prod. media (kWh/h)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DATOS!$B$66:$B$89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2.869580016116037</c:v>
                </c:pt>
                <c:pt idx="5">
                  <c:v>173.48678775181313</c:v>
                </c:pt>
                <c:pt idx="6">
                  <c:v>457.35901498791327</c:v>
                </c:pt>
                <c:pt idx="7">
                  <c:v>725.53254730056358</c:v>
                </c:pt>
                <c:pt idx="8">
                  <c:v>941.6202062852542</c:v>
                </c:pt>
                <c:pt idx="9">
                  <c:v>1065.7957605157128</c:v>
                </c:pt>
                <c:pt idx="10">
                  <c:v>1088.8329698630146</c:v>
                </c:pt>
                <c:pt idx="11">
                  <c:v>1037.0007326349714</c:v>
                </c:pt>
                <c:pt idx="12">
                  <c:v>873.58470265914423</c:v>
                </c:pt>
                <c:pt idx="13">
                  <c:v>666.50675004028994</c:v>
                </c:pt>
                <c:pt idx="14">
                  <c:v>411.13493086220791</c:v>
                </c:pt>
                <c:pt idx="15">
                  <c:v>144.70337792103149</c:v>
                </c:pt>
                <c:pt idx="16">
                  <c:v>0.17792876712328773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D1-42EE-B611-400F9BB6C3A8}"/>
            </c:ext>
          </c:extLst>
        </c:ser>
        <c:ser>
          <c:idx val="2"/>
          <c:order val="2"/>
          <c:tx>
            <c:strRef>
              <c:f>DATOS!$C$65</c:f>
              <c:strCache>
                <c:ptCount val="1"/>
                <c:pt idx="0">
                  <c:v>Cons. media (kWh/h)</c:v>
                </c:pt>
              </c:strCache>
            </c:strRef>
          </c:tx>
          <c:marker>
            <c:symbol val="none"/>
          </c:marker>
          <c:val>
            <c:numRef>
              <c:f>DATOS!$C$66:$C$89</c:f>
              <c:numCache>
                <c:formatCode>General</c:formatCode>
                <c:ptCount val="24"/>
                <c:pt idx="0">
                  <c:v>277.86791201308569</c:v>
                </c:pt>
                <c:pt idx="1">
                  <c:v>277.86791201308569</c:v>
                </c:pt>
                <c:pt idx="2">
                  <c:v>277.86791201308569</c:v>
                </c:pt>
                <c:pt idx="3">
                  <c:v>247.3715540032498</c:v>
                </c:pt>
                <c:pt idx="4">
                  <c:v>276.66044940157542</c:v>
                </c:pt>
                <c:pt idx="5">
                  <c:v>240.15766414436638</c:v>
                </c:pt>
                <c:pt idx="6">
                  <c:v>210.25889470381011</c:v>
                </c:pt>
                <c:pt idx="7">
                  <c:v>222.43418008814504</c:v>
                </c:pt>
                <c:pt idx="8">
                  <c:v>239.95784955298217</c:v>
                </c:pt>
                <c:pt idx="9">
                  <c:v>293.03202344606524</c:v>
                </c:pt>
                <c:pt idx="10">
                  <c:v>340.21596572784136</c:v>
                </c:pt>
                <c:pt idx="11">
                  <c:v>383.93230438145184</c:v>
                </c:pt>
                <c:pt idx="12">
                  <c:v>305.54009767842297</c:v>
                </c:pt>
                <c:pt idx="13">
                  <c:v>298.65138736905749</c:v>
                </c:pt>
                <c:pt idx="14">
                  <c:v>266.35948396299295</c:v>
                </c:pt>
                <c:pt idx="15">
                  <c:v>348.31219472580153</c:v>
                </c:pt>
                <c:pt idx="16">
                  <c:v>297.41296417773998</c:v>
                </c:pt>
                <c:pt idx="17">
                  <c:v>316.15213547680634</c:v>
                </c:pt>
                <c:pt idx="18">
                  <c:v>422.77939168886616</c:v>
                </c:pt>
                <c:pt idx="19">
                  <c:v>384.52753928991228</c:v>
                </c:pt>
                <c:pt idx="20">
                  <c:v>373.47457492260247</c:v>
                </c:pt>
                <c:pt idx="21">
                  <c:v>298.24010435680748</c:v>
                </c:pt>
                <c:pt idx="22">
                  <c:v>288.85899260550127</c:v>
                </c:pt>
                <c:pt idx="23">
                  <c:v>285.8093568045386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D1-42EE-B611-400F9BB6C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DATOS!$A$65</c15:sqref>
                        </c15:formulaRef>
                      </c:ext>
                    </c:extLst>
                    <c:strCache>
                      <c:ptCount val="1"/>
                      <c:pt idx="0">
                        <c:v>Hora</c:v>
                      </c:pt>
                    </c:strCache>
                  </c:strRef>
                </c:tx>
                <c:spPr>
                  <a:ln>
                    <a:prstDash val="solid"/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DATOS!$A$66:$A$89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6D1-42EE-B611-400F9BB6C3A8}"/>
                  </c:ext>
                </c:extLst>
              </c15:ser>
            </c15:filteredLineSeries>
          </c:ext>
        </c:extLst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E95D6A99-F9D1-45FC-B8DE-0CAC2A9CF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9" name="Chart 7">
          <a:extLst>
            <a:ext uri="{FF2B5EF4-FFF2-40B4-BE49-F238E27FC236}">
              <a16:creationId xmlns:a16="http://schemas.microsoft.com/office/drawing/2014/main" id="{46CF489F-118E-4CB4-9126-051CC15A9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8</xdr:col>
      <xdr:colOff>0</xdr:colOff>
      <xdr:row>108</xdr:row>
      <xdr:rowOff>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18C0278D-B72C-4FFE-B896-8CEB02ACE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108856</xdr:colOff>
      <xdr:row>110</xdr:row>
      <xdr:rowOff>40822</xdr:rowOff>
    </xdr:from>
    <xdr:to>
      <xdr:col>8</xdr:col>
      <xdr:colOff>40822</xdr:colOff>
      <xdr:row>127</xdr:row>
      <xdr:rowOff>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C477E1A0-09E7-4979-AB53-049E0BD05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129</xdr:row>
      <xdr:rowOff>152400</xdr:rowOff>
    </xdr:from>
    <xdr:to>
      <xdr:col>8</xdr:col>
      <xdr:colOff>0</xdr:colOff>
      <xdr:row>146</xdr:row>
      <xdr:rowOff>152400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EA9119F4-0EA0-44A8-BFE1-A87B38E80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6CE9AF-F5F6-4896-ABB1-EE1D268B5A1F}" name="ResumenMensualComparativa" displayName="ResumenMensualComparativa" ref="B179:I192" totalsRowCount="1">
  <tableColumns count="8">
    <tableColumn id="1" xr3:uid="{77D26EEF-BD9E-4F8A-AD7F-7126B975B136}" name="Mes"/>
    <tableColumn id="2" xr3:uid="{896BD691-DD4F-439A-94F3-300145CA9577}" name="Producción (MWh)" totalsRowFunction="sum" dataDxfId="23" totalsRowDxfId="22">
      <calculatedColumnFormula>+DATOS!B50</calculatedColumnFormula>
    </tableColumn>
    <tableColumn id="3" xr3:uid="{B489115C-1C4B-44F8-A54C-BA8911E773DC}" name="Consumo (MWh)" totalsRowFunction="sum" dataDxfId="21" totalsRowDxfId="20">
      <calculatedColumnFormula>+DATOS!C50</calculatedColumnFormula>
    </tableColumn>
    <tableColumn id="4" xr3:uid="{3CE1AC63-F42D-48F8-8310-9CDC3BFA93CA}" name="Balance (MWh)" dataDxfId="19" totalsRowDxfId="18">
      <calculatedColumnFormula>+DATOS!D50</calculatedColumnFormula>
    </tableColumn>
    <tableColumn id="5" xr3:uid="{3EAE5A77-238E-4EBE-B662-4A6D021FFEC0}" name="Solar directo (MWh)" dataDxfId="17" totalsRowDxfId="16">
      <calculatedColumnFormula>+DATOS!E50</calculatedColumnFormula>
    </tableColumn>
    <tableColumn id="6" xr3:uid="{4AB957F2-460B-40A3-B9B2-49457A24AD77}" name="Excedente (MWh)" dataDxfId="15" totalsRowDxfId="14">
      <calculatedColumnFormula>+DATOS!F50</calculatedColumnFormula>
    </tableColumn>
    <tableColumn id="7" xr3:uid="{C0392115-3BCB-4F86-9EE5-F334D2489C75}" name="Déficit (MWh)" dataDxfId="13" totalsRowDxfId="12">
      <calculatedColumnFormula>+DATOS!G50</calculatedColumnFormula>
    </tableColumn>
    <tableColumn id="8" xr3:uid="{24A3C5C7-06F8-4A52-B8A2-2C5E6889C699}" name="Cobertura demanda (%)" dataDxfId="11" totalsRowDxfId="10">
      <calculatedColumnFormula>CONCATENATE(ROUND(DATOS!H50,2), "%")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DB98F1-BC8E-47C2-8A17-EBBA019D2FE0}" name="PerfilHorarioComparativa" displayName="PerfilHorarioComparativa" ref="A195:E220" totalsRowCount="1" dataDxfId="9">
  <tableColumns count="5">
    <tableColumn id="1" xr3:uid="{93734E11-FC55-42FF-BA27-84DF26D42E66}" name="Hora" totalsRowLabel="TOTAL" dataDxfId="8" totalsRowDxfId="7"/>
    <tableColumn id="2" xr3:uid="{CF402710-4D8F-4C41-9608-765D0EF1222B}" name="Prod. media (kWh/h)" totalsRowFunction="sum" dataDxfId="6" totalsRowDxfId="5">
      <calculatedColumnFormula>+DATOS!B66</calculatedColumnFormula>
    </tableColumn>
    <tableColumn id="3" xr3:uid="{141D83EF-AFA0-4275-8BD3-A976F378C6DF}" name="Cons. media (kWh/h)" totalsRowFunction="sum" dataDxfId="4" totalsRowDxfId="3">
      <calculatedColumnFormula>+DATOS!C66</calculatedColumnFormula>
    </tableColumn>
    <tableColumn id="4" xr3:uid="{2F2482D2-9CC7-4DFA-9A01-05DC3865CFAD}" name="Balance medio (kWh/h)" dataDxfId="2" totalsRowDxfId="1">
      <calculatedColumnFormula>+DATOS!D66</calculatedColumnFormula>
    </tableColumn>
    <tableColumn id="5" xr3:uid="{8F282F03-6A67-4F5A-AE79-39E4D8C0C3FB}" name="Cobertura media (%)" dataDxfId="0">
      <calculatedColumnFormula>CONCATENATE(ROUND(DATOS!E66,2), "%")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42F562-9180-4B00-93C7-AC6D373D7908}" name="PerfilHorarioImportado" displayName="PerfilHorarioImportado" ref="A229:C254">
  <tableColumns count="3">
    <tableColumn id="1" xr3:uid="{90835217-5FD3-4B19-8D2A-C5A637E6936D}" name="Hora"/>
    <tableColumn id="2" xr3:uid="{058E2A34-1448-43B8-911C-83B3604674F8}" name="Curva consumo (kWh/día)"/>
    <tableColumn id="3" xr3:uid="{0F969FFE-8BAA-4D2F-BF21-7E7B64630784}" name="% del consumo di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E0BC58-801D-4EB1-8313-A2E999A27FB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d801a1d-58aa-4cfa-bd03-44c4fdb2624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"/>
  <sheetViews>
    <sheetView topLeftCell="A127" workbookViewId="0">
      <selection activeCell="A127" sqref="A1:XFD1048576"/>
    </sheetView>
  </sheetViews>
  <sheetFormatPr baseColWidth="10" defaultRowHeight="15" x14ac:dyDescent="0.25"/>
  <cols>
    <col min="1" max="1" width="32" customWidth="1"/>
    <col min="2" max="2" width="22" customWidth="1"/>
    <col min="3" max="3" width="18" customWidth="1"/>
    <col min="4" max="14" width="22" customWidth="1"/>
  </cols>
  <sheetData>
    <row r="1" spans="1:3" x14ac:dyDescent="0.25">
      <c r="A1" s="24" t="s">
        <v>0</v>
      </c>
    </row>
    <row r="3" spans="1:3" x14ac:dyDescent="0.25">
      <c r="A3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5</v>
      </c>
      <c r="B5">
        <v>2769840.9307058803</v>
      </c>
      <c r="C5" t="s">
        <v>6</v>
      </c>
    </row>
    <row r="6" spans="1:3" x14ac:dyDescent="0.25">
      <c r="A6" t="s">
        <v>5</v>
      </c>
      <c r="B6">
        <v>2769.8409307058801</v>
      </c>
      <c r="C6" t="s">
        <v>7</v>
      </c>
    </row>
    <row r="7" spans="1:3" x14ac:dyDescent="0.25">
      <c r="A7" t="s">
        <v>8</v>
      </c>
      <c r="B7">
        <v>316.19188706688129</v>
      </c>
      <c r="C7" t="s">
        <v>9</v>
      </c>
    </row>
    <row r="8" spans="1:3" x14ac:dyDescent="0.25">
      <c r="A8" t="s">
        <v>10</v>
      </c>
      <c r="B8">
        <v>1373.184</v>
      </c>
      <c r="C8" t="s">
        <v>6</v>
      </c>
    </row>
    <row r="9" spans="1:3" x14ac:dyDescent="0.25">
      <c r="A9" t="s">
        <v>11</v>
      </c>
      <c r="B9" t="s">
        <v>12</v>
      </c>
    </row>
    <row r="10" spans="1:3" x14ac:dyDescent="0.25">
      <c r="A10" t="s">
        <v>13</v>
      </c>
      <c r="B10" t="s">
        <v>97</v>
      </c>
    </row>
    <row r="11" spans="1:3" x14ac:dyDescent="0.25">
      <c r="A11" t="s">
        <v>15</v>
      </c>
      <c r="B11">
        <v>2618416.1382599892</v>
      </c>
      <c r="C11" t="s">
        <v>6</v>
      </c>
    </row>
    <row r="12" spans="1:3" x14ac:dyDescent="0.25">
      <c r="A12" t="s">
        <v>16</v>
      </c>
      <c r="B12">
        <v>151.42479244589106</v>
      </c>
      <c r="C12" t="s">
        <v>7</v>
      </c>
    </row>
    <row r="13" spans="1:3" x14ac:dyDescent="0.25">
      <c r="A13" t="s">
        <v>17</v>
      </c>
      <c r="B13">
        <v>40.091233191965095</v>
      </c>
      <c r="C13" t="s">
        <v>18</v>
      </c>
    </row>
    <row r="14" spans="1:3" x14ac:dyDescent="0.25">
      <c r="A14" t="s">
        <v>19</v>
      </c>
      <c r="B14">
        <v>1720.0856107799937</v>
      </c>
      <c r="C14" t="s">
        <v>7</v>
      </c>
    </row>
    <row r="16" spans="1:3" x14ac:dyDescent="0.25">
      <c r="A16" t="s">
        <v>20</v>
      </c>
    </row>
    <row r="17" spans="1:3" x14ac:dyDescent="0.25">
      <c r="A17" t="s">
        <v>21</v>
      </c>
      <c r="B17" t="s">
        <v>22</v>
      </c>
      <c r="C17" t="s">
        <v>23</v>
      </c>
    </row>
    <row r="18" spans="1:3" x14ac:dyDescent="0.25">
      <c r="A18" t="s">
        <v>97</v>
      </c>
      <c r="B18">
        <v>261319.60799999998</v>
      </c>
      <c r="C18">
        <v>9.4344626474056684E-2</v>
      </c>
    </row>
    <row r="19" spans="1:3" x14ac:dyDescent="0.25">
      <c r="A19" t="s">
        <v>98</v>
      </c>
      <c r="B19">
        <v>233853.22270588236</v>
      </c>
      <c r="C19">
        <v>8.4428394466062665E-2</v>
      </c>
    </row>
    <row r="20" spans="1:3" x14ac:dyDescent="0.25">
      <c r="A20" t="s">
        <v>99</v>
      </c>
      <c r="B20">
        <v>246783.54176470599</v>
      </c>
      <c r="C20">
        <v>8.9096647763745138E-2</v>
      </c>
    </row>
    <row r="21" spans="1:3" x14ac:dyDescent="0.25">
      <c r="A21" t="s">
        <v>100</v>
      </c>
      <c r="B21">
        <v>230884.85117647058</v>
      </c>
      <c r="C21">
        <v>8.3356718653742529E-2</v>
      </c>
    </row>
    <row r="22" spans="1:3" x14ac:dyDescent="0.25">
      <c r="A22" t="s">
        <v>101</v>
      </c>
      <c r="B22">
        <v>231485.83835294101</v>
      </c>
      <c r="C22">
        <v>8.3573693993303735E-2</v>
      </c>
    </row>
    <row r="23" spans="1:3" x14ac:dyDescent="0.25">
      <c r="A23" t="s">
        <v>102</v>
      </c>
      <c r="B23">
        <v>206121.2802352939</v>
      </c>
      <c r="C23">
        <v>7.4416287935626962E-2</v>
      </c>
    </row>
    <row r="24" spans="1:3" x14ac:dyDescent="0.25">
      <c r="A24" t="s">
        <v>103</v>
      </c>
      <c r="B24">
        <v>210180.62223529414</v>
      </c>
      <c r="C24">
        <v>7.5881838521943745E-2</v>
      </c>
    </row>
    <row r="25" spans="1:3" x14ac:dyDescent="0.25">
      <c r="A25" t="s">
        <v>104</v>
      </c>
      <c r="B25">
        <v>215263.02070588231</v>
      </c>
      <c r="C25">
        <v>7.7716744784699046E-2</v>
      </c>
    </row>
    <row r="26" spans="1:3" x14ac:dyDescent="0.25">
      <c r="A26" t="s">
        <v>105</v>
      </c>
      <c r="B26">
        <v>224216.93329411765</v>
      </c>
      <c r="C26">
        <v>8.0949389839862371E-2</v>
      </c>
    </row>
    <row r="27" spans="1:3" x14ac:dyDescent="0.25">
      <c r="A27" t="s">
        <v>106</v>
      </c>
      <c r="B27">
        <v>236645.67917647061</v>
      </c>
      <c r="C27">
        <v>8.5436559389770614E-2</v>
      </c>
    </row>
    <row r="28" spans="1:3" x14ac:dyDescent="0.25">
      <c r="A28" t="s">
        <v>107</v>
      </c>
      <c r="B28">
        <v>228947.94741176473</v>
      </c>
      <c r="C28">
        <v>8.2657435260521744E-2</v>
      </c>
    </row>
    <row r="29" spans="1:3" x14ac:dyDescent="0.25">
      <c r="A29" t="s">
        <v>108</v>
      </c>
      <c r="B29">
        <v>244138.38564705875</v>
      </c>
      <c r="C29">
        <v>8.8141662916664726E-2</v>
      </c>
    </row>
    <row r="30" spans="1:3" x14ac:dyDescent="0.25">
      <c r="A30" t="s">
        <v>35</v>
      </c>
      <c r="B30">
        <v>2769840.9307058821</v>
      </c>
      <c r="C30">
        <v>1</v>
      </c>
    </row>
    <row r="32" spans="1:3" x14ac:dyDescent="0.25">
      <c r="A32" t="s">
        <v>36</v>
      </c>
    </row>
    <row r="33" spans="1:3" x14ac:dyDescent="0.25">
      <c r="A33" t="s">
        <v>21</v>
      </c>
      <c r="B33" t="s">
        <v>37</v>
      </c>
      <c r="C33" t="s">
        <v>38</v>
      </c>
    </row>
    <row r="34" spans="1:3" x14ac:dyDescent="0.25">
      <c r="A34" t="s">
        <v>97</v>
      </c>
      <c r="B34">
        <v>223404.56373999501</v>
      </c>
      <c r="C34">
        <v>223.40456373999501</v>
      </c>
    </row>
    <row r="35" spans="1:3" x14ac:dyDescent="0.25">
      <c r="A35" t="s">
        <v>98</v>
      </c>
      <c r="B35">
        <v>200837.99607999565</v>
      </c>
      <c r="C35">
        <v>200.83799607999563</v>
      </c>
    </row>
    <row r="36" spans="1:3" x14ac:dyDescent="0.25">
      <c r="A36" t="s">
        <v>99</v>
      </c>
      <c r="B36">
        <v>223404.56373999504</v>
      </c>
      <c r="C36">
        <v>223.40456373999504</v>
      </c>
    </row>
    <row r="37" spans="1:3" x14ac:dyDescent="0.25">
      <c r="A37" t="s">
        <v>100</v>
      </c>
      <c r="B37">
        <v>213436.54899999563</v>
      </c>
      <c r="C37">
        <v>213.43654899999564</v>
      </c>
    </row>
    <row r="38" spans="1:3" x14ac:dyDescent="0.25">
      <c r="A38" t="s">
        <v>101</v>
      </c>
      <c r="B38">
        <v>223404.56373999501</v>
      </c>
      <c r="C38">
        <v>223.40456373999501</v>
      </c>
    </row>
    <row r="39" spans="1:3" x14ac:dyDescent="0.25">
      <c r="A39" t="s">
        <v>102</v>
      </c>
      <c r="B39">
        <v>215882.37451999524</v>
      </c>
      <c r="C39">
        <v>215.88237451999524</v>
      </c>
    </row>
    <row r="40" spans="1:3" x14ac:dyDescent="0.25">
      <c r="A40" t="s">
        <v>103</v>
      </c>
      <c r="B40">
        <v>220958.73821999543</v>
      </c>
      <c r="C40">
        <v>220.95873821999544</v>
      </c>
    </row>
    <row r="41" spans="1:3" x14ac:dyDescent="0.25">
      <c r="A41" t="s">
        <v>104</v>
      </c>
      <c r="B41">
        <v>223404.56373999501</v>
      </c>
      <c r="C41">
        <v>223.40456373999501</v>
      </c>
    </row>
    <row r="42" spans="1:3" x14ac:dyDescent="0.25">
      <c r="A42" t="s">
        <v>105</v>
      </c>
      <c r="B42">
        <v>213436.54899999563</v>
      </c>
      <c r="C42">
        <v>213.43654899999564</v>
      </c>
    </row>
    <row r="43" spans="1:3" x14ac:dyDescent="0.25">
      <c r="A43" t="s">
        <v>106</v>
      </c>
      <c r="B43">
        <v>223404.56373999501</v>
      </c>
      <c r="C43">
        <v>223.40456373999501</v>
      </c>
    </row>
    <row r="44" spans="1:3" x14ac:dyDescent="0.25">
      <c r="A44" t="s">
        <v>107</v>
      </c>
      <c r="B44">
        <v>215882.37451999524</v>
      </c>
      <c r="C44">
        <v>215.88237451999524</v>
      </c>
    </row>
    <row r="45" spans="1:3" x14ac:dyDescent="0.25">
      <c r="A45" t="s">
        <v>108</v>
      </c>
      <c r="B45">
        <v>220958.73821999543</v>
      </c>
      <c r="C45">
        <v>220.95873821999544</v>
      </c>
    </row>
    <row r="46" spans="1:3" x14ac:dyDescent="0.25">
      <c r="A46" t="s">
        <v>35</v>
      </c>
      <c r="B46">
        <v>2618416.1382599436</v>
      </c>
      <c r="C46">
        <v>2618.4161382599436</v>
      </c>
    </row>
    <row r="48" spans="1:3" x14ac:dyDescent="0.25">
      <c r="A48" t="s">
        <v>39</v>
      </c>
    </row>
    <row r="49" spans="1:8" x14ac:dyDescent="0.25">
      <c r="A49" t="s">
        <v>21</v>
      </c>
      <c r="B49" t="s">
        <v>40</v>
      </c>
      <c r="C49" t="s">
        <v>38</v>
      </c>
      <c r="D49" t="s">
        <v>41</v>
      </c>
      <c r="E49" t="s">
        <v>42</v>
      </c>
      <c r="F49" t="s">
        <v>43</v>
      </c>
      <c r="G49" t="s">
        <v>44</v>
      </c>
      <c r="H49" t="s">
        <v>45</v>
      </c>
    </row>
    <row r="50" spans="1:8" x14ac:dyDescent="0.25">
      <c r="A50" t="s">
        <v>97</v>
      </c>
      <c r="B50">
        <v>261.31960799999996</v>
      </c>
      <c r="C50">
        <v>223.40456373999501</v>
      </c>
      <c r="D50">
        <v>37.91504426000467</v>
      </c>
      <c r="E50">
        <v>91.237753587607259</v>
      </c>
      <c r="F50">
        <v>170.08185441239272</v>
      </c>
      <c r="G50">
        <v>132.16681015238774</v>
      </c>
      <c r="H50">
        <v>40.839699986519754</v>
      </c>
    </row>
    <row r="51" spans="1:8" x14ac:dyDescent="0.25">
      <c r="A51" t="s">
        <v>98</v>
      </c>
      <c r="B51">
        <v>233.85322270588236</v>
      </c>
      <c r="C51">
        <v>200.83799607999563</v>
      </c>
      <c r="D51">
        <v>33.015226625886427</v>
      </c>
      <c r="E51">
        <v>81.955762844865276</v>
      </c>
      <c r="F51">
        <v>151.8974598610171</v>
      </c>
      <c r="G51">
        <v>118.88223323513047</v>
      </c>
      <c r="H51">
        <v>40.806901305777586</v>
      </c>
    </row>
    <row r="52" spans="1:8" x14ac:dyDescent="0.25">
      <c r="A52" t="s">
        <v>99</v>
      </c>
      <c r="B52">
        <v>246.783541764706</v>
      </c>
      <c r="C52">
        <v>223.40456373999504</v>
      </c>
      <c r="D52">
        <v>23.378978024710513</v>
      </c>
      <c r="E52">
        <v>90.137922963548561</v>
      </c>
      <c r="F52">
        <v>156.6456188011573</v>
      </c>
      <c r="G52">
        <v>133.26664077644645</v>
      </c>
      <c r="H52">
        <v>40.347395529687482</v>
      </c>
    </row>
    <row r="53" spans="1:8" x14ac:dyDescent="0.25">
      <c r="A53" t="s">
        <v>100</v>
      </c>
      <c r="B53">
        <v>230.88485117647059</v>
      </c>
      <c r="C53">
        <v>213.43654899999564</v>
      </c>
      <c r="D53">
        <v>17.448302176474566</v>
      </c>
      <c r="E53">
        <v>85.444027886277397</v>
      </c>
      <c r="F53">
        <v>145.44082329019315</v>
      </c>
      <c r="G53">
        <v>127.9925211137183</v>
      </c>
      <c r="H53">
        <v>40.032519400545191</v>
      </c>
    </row>
    <row r="54" spans="1:8" x14ac:dyDescent="0.25">
      <c r="A54" t="s">
        <v>101</v>
      </c>
      <c r="B54">
        <v>231.48583835294102</v>
      </c>
      <c r="C54">
        <v>223.40456373999501</v>
      </c>
      <c r="D54">
        <v>8.0812746129457924</v>
      </c>
      <c r="E54">
        <v>88.700547819036572</v>
      </c>
      <c r="F54">
        <v>142.78529053390466</v>
      </c>
      <c r="G54">
        <v>134.70401592095862</v>
      </c>
      <c r="H54">
        <v>39.703999924669823</v>
      </c>
    </row>
    <row r="55" spans="1:8" x14ac:dyDescent="0.25">
      <c r="A55" t="s">
        <v>102</v>
      </c>
      <c r="B55">
        <v>206.12128023529391</v>
      </c>
      <c r="C55">
        <v>215.88237451999524</v>
      </c>
      <c r="D55">
        <v>-9.7610942847014837</v>
      </c>
      <c r="E55">
        <v>84.972487642863001</v>
      </c>
      <c r="F55">
        <v>121.14879259243112</v>
      </c>
      <c r="G55">
        <v>130.90988687713227</v>
      </c>
      <c r="H55">
        <v>39.360548924753822</v>
      </c>
    </row>
    <row r="56" spans="1:8" x14ac:dyDescent="0.25">
      <c r="A56" t="s">
        <v>103</v>
      </c>
      <c r="B56">
        <v>210.18062223529415</v>
      </c>
      <c r="C56">
        <v>220.95873821999544</v>
      </c>
      <c r="D56">
        <v>-10.77811598470168</v>
      </c>
      <c r="E56">
        <v>86.903277998533852</v>
      </c>
      <c r="F56">
        <v>123.27734423676023</v>
      </c>
      <c r="G56">
        <v>134.05546022146157</v>
      </c>
      <c r="H56">
        <v>39.330093346210845</v>
      </c>
    </row>
    <row r="57" spans="1:8" x14ac:dyDescent="0.25">
      <c r="A57" t="s">
        <v>104</v>
      </c>
      <c r="B57">
        <v>215.26302070588233</v>
      </c>
      <c r="C57">
        <v>223.40456373999501</v>
      </c>
      <c r="D57">
        <v>-8.1415430341130524</v>
      </c>
      <c r="E57">
        <v>87.938093507497015</v>
      </c>
      <c r="F57">
        <v>127.32492719838525</v>
      </c>
      <c r="G57">
        <v>135.46647023249815</v>
      </c>
      <c r="H57">
        <v>39.362711323051592</v>
      </c>
    </row>
    <row r="58" spans="1:8" x14ac:dyDescent="0.25">
      <c r="A58" t="s">
        <v>105</v>
      </c>
      <c r="B58">
        <v>224.21693329411767</v>
      </c>
      <c r="C58">
        <v>213.43654899999564</v>
      </c>
      <c r="D58">
        <v>10.780384294121674</v>
      </c>
      <c r="E58">
        <v>85.34348639401118</v>
      </c>
      <c r="F58">
        <v>138.87344690010636</v>
      </c>
      <c r="G58">
        <v>128.0930626059845</v>
      </c>
      <c r="H58">
        <v>39.985413367048459</v>
      </c>
    </row>
    <row r="59" spans="1:8" x14ac:dyDescent="0.25">
      <c r="A59" t="s">
        <v>106</v>
      </c>
      <c r="B59">
        <v>236.64567917647062</v>
      </c>
      <c r="C59">
        <v>223.40456373999501</v>
      </c>
      <c r="D59">
        <v>13.241115436475202</v>
      </c>
      <c r="E59">
        <v>90.084531872548837</v>
      </c>
      <c r="F59">
        <v>146.56114730392173</v>
      </c>
      <c r="G59">
        <v>133.32003186744632</v>
      </c>
      <c r="H59">
        <v>40.323496693376384</v>
      </c>
    </row>
    <row r="60" spans="1:8" x14ac:dyDescent="0.25">
      <c r="A60" t="s">
        <v>107</v>
      </c>
      <c r="B60">
        <v>228.94794741176474</v>
      </c>
      <c r="C60">
        <v>215.88237451999524</v>
      </c>
      <c r="D60">
        <v>13.065572891769113</v>
      </c>
      <c r="E60">
        <v>87.184185228672362</v>
      </c>
      <c r="F60">
        <v>141.76376218309235</v>
      </c>
      <c r="G60">
        <v>128.69818929132299</v>
      </c>
      <c r="H60">
        <v>40.385040892070265</v>
      </c>
    </row>
    <row r="61" spans="1:8" x14ac:dyDescent="0.25">
      <c r="A61" t="s">
        <v>108</v>
      </c>
      <c r="B61">
        <v>244.13838564705875</v>
      </c>
      <c r="C61">
        <v>220.95873821999544</v>
      </c>
      <c r="D61">
        <v>23.17964742706306</v>
      </c>
      <c r="E61">
        <v>89.853242180428865</v>
      </c>
      <c r="F61">
        <v>154.28514346663005</v>
      </c>
      <c r="G61">
        <v>131.10549603956659</v>
      </c>
      <c r="H61">
        <v>40.665168032851163</v>
      </c>
    </row>
    <row r="62" spans="1:8" x14ac:dyDescent="0.25">
      <c r="A62" t="s">
        <v>35</v>
      </c>
      <c r="B62">
        <v>2769.8409307058823</v>
      </c>
      <c r="C62">
        <v>2618.4161382599432</v>
      </c>
    </row>
    <row r="64" spans="1:8" x14ac:dyDescent="0.25">
      <c r="A64" t="s">
        <v>46</v>
      </c>
    </row>
    <row r="65" spans="1:5" x14ac:dyDescent="0.25">
      <c r="A65" t="s">
        <v>47</v>
      </c>
      <c r="B65" t="s">
        <v>48</v>
      </c>
      <c r="C65" t="s">
        <v>49</v>
      </c>
      <c r="D65" t="s">
        <v>50</v>
      </c>
      <c r="E65" t="s">
        <v>51</v>
      </c>
    </row>
    <row r="66" spans="1:5" x14ac:dyDescent="0.25">
      <c r="A66">
        <v>0</v>
      </c>
      <c r="B66">
        <v>0</v>
      </c>
      <c r="C66">
        <v>277.86791201308569</v>
      </c>
      <c r="D66">
        <v>-277.86791201308569</v>
      </c>
      <c r="E66">
        <v>0</v>
      </c>
    </row>
    <row r="67" spans="1:5" x14ac:dyDescent="0.25">
      <c r="A67">
        <v>1</v>
      </c>
      <c r="B67">
        <v>0</v>
      </c>
      <c r="C67">
        <v>277.86791201308569</v>
      </c>
      <c r="D67">
        <v>-277.86791201308569</v>
      </c>
      <c r="E67">
        <v>0</v>
      </c>
    </row>
    <row r="68" spans="1:5" x14ac:dyDescent="0.25">
      <c r="A68">
        <v>2</v>
      </c>
      <c r="B68">
        <v>0</v>
      </c>
      <c r="C68">
        <v>277.86791201308569</v>
      </c>
      <c r="D68">
        <v>-277.86791201308569</v>
      </c>
      <c r="E68">
        <v>0</v>
      </c>
    </row>
    <row r="69" spans="1:5" x14ac:dyDescent="0.25">
      <c r="A69">
        <v>3</v>
      </c>
      <c r="B69">
        <v>0</v>
      </c>
      <c r="C69">
        <v>247.3715540032498</v>
      </c>
      <c r="D69">
        <v>-247.3715540032498</v>
      </c>
      <c r="E69">
        <v>0</v>
      </c>
    </row>
    <row r="70" spans="1:5" x14ac:dyDescent="0.25">
      <c r="A70">
        <v>4</v>
      </c>
      <c r="B70">
        <v>2.869580016116037</v>
      </c>
      <c r="C70">
        <v>276.66044940157542</v>
      </c>
      <c r="D70">
        <v>-273.79086938546095</v>
      </c>
      <c r="E70">
        <v>1.0372209046587693</v>
      </c>
    </row>
    <row r="71" spans="1:5" x14ac:dyDescent="0.25">
      <c r="A71">
        <v>5</v>
      </c>
      <c r="B71">
        <v>173.48678775181313</v>
      </c>
      <c r="C71">
        <v>240.15766414436638</v>
      </c>
      <c r="D71">
        <v>-66.670876392553765</v>
      </c>
      <c r="E71">
        <v>72.238705506198102</v>
      </c>
    </row>
    <row r="72" spans="1:5" x14ac:dyDescent="0.25">
      <c r="A72">
        <v>6</v>
      </c>
      <c r="B72">
        <v>457.35901498791327</v>
      </c>
      <c r="C72">
        <v>210.25889470381011</v>
      </c>
      <c r="D72">
        <v>247.10012028410407</v>
      </c>
      <c r="E72">
        <v>100</v>
      </c>
    </row>
    <row r="73" spans="1:5" x14ac:dyDescent="0.25">
      <c r="A73">
        <v>7</v>
      </c>
      <c r="B73">
        <v>725.53254730056358</v>
      </c>
      <c r="C73">
        <v>222.43418008814504</v>
      </c>
      <c r="D73">
        <v>503.09836721241828</v>
      </c>
      <c r="E73">
        <v>100</v>
      </c>
    </row>
    <row r="74" spans="1:5" x14ac:dyDescent="0.25">
      <c r="A74">
        <v>8</v>
      </c>
      <c r="B74">
        <v>941.6202062852542</v>
      </c>
      <c r="C74">
        <v>239.95784955298217</v>
      </c>
      <c r="D74">
        <v>701.66235673227015</v>
      </c>
      <c r="E74">
        <v>100</v>
      </c>
    </row>
    <row r="75" spans="1:5" x14ac:dyDescent="0.25">
      <c r="A75">
        <v>9</v>
      </c>
      <c r="B75">
        <v>1065.7957605157128</v>
      </c>
      <c r="C75">
        <v>293.03202344606524</v>
      </c>
      <c r="D75">
        <v>772.76373706964989</v>
      </c>
      <c r="E75">
        <v>100</v>
      </c>
    </row>
    <row r="76" spans="1:5" x14ac:dyDescent="0.25">
      <c r="A76">
        <v>10</v>
      </c>
      <c r="B76">
        <v>1088.8329698630146</v>
      </c>
      <c r="C76">
        <v>340.21596572784136</v>
      </c>
      <c r="D76">
        <v>748.61700413517372</v>
      </c>
      <c r="E76">
        <v>100</v>
      </c>
    </row>
    <row r="77" spans="1:5" x14ac:dyDescent="0.25">
      <c r="A77">
        <v>11</v>
      </c>
      <c r="B77">
        <v>1037.0007326349714</v>
      </c>
      <c r="C77">
        <v>383.93230438145184</v>
      </c>
      <c r="D77">
        <v>653.06842825351919</v>
      </c>
      <c r="E77">
        <v>100</v>
      </c>
    </row>
    <row r="78" spans="1:5" x14ac:dyDescent="0.25">
      <c r="A78">
        <v>12</v>
      </c>
      <c r="B78">
        <v>873.58470265914423</v>
      </c>
      <c r="C78">
        <v>305.54009767842297</v>
      </c>
      <c r="D78">
        <v>568.04460498072285</v>
      </c>
      <c r="E78">
        <v>100</v>
      </c>
    </row>
    <row r="79" spans="1:5" x14ac:dyDescent="0.25">
      <c r="A79">
        <v>13</v>
      </c>
      <c r="B79">
        <v>666.50675004028994</v>
      </c>
      <c r="C79">
        <v>298.65138736905749</v>
      </c>
      <c r="D79">
        <v>367.85536267123365</v>
      </c>
      <c r="E79">
        <v>100</v>
      </c>
    </row>
    <row r="80" spans="1:5" x14ac:dyDescent="0.25">
      <c r="A80">
        <v>14</v>
      </c>
      <c r="B80">
        <v>411.13493086220791</v>
      </c>
      <c r="C80">
        <v>266.35948396299295</v>
      </c>
      <c r="D80">
        <v>144.77544689921305</v>
      </c>
      <c r="E80">
        <v>100</v>
      </c>
    </row>
    <row r="81" spans="1:5" x14ac:dyDescent="0.25">
      <c r="A81">
        <v>15</v>
      </c>
      <c r="B81">
        <v>144.70337792103149</v>
      </c>
      <c r="C81">
        <v>348.31219472580153</v>
      </c>
      <c r="D81">
        <v>-203.60881680476922</v>
      </c>
      <c r="E81">
        <v>41.544160701851091</v>
      </c>
    </row>
    <row r="82" spans="1:5" x14ac:dyDescent="0.25">
      <c r="A82">
        <v>16</v>
      </c>
      <c r="B82">
        <v>0.17792876712328773</v>
      </c>
      <c r="C82">
        <v>297.41296417773998</v>
      </c>
      <c r="D82">
        <v>-297.23503541061666</v>
      </c>
      <c r="E82">
        <v>5.9825491338351314E-2</v>
      </c>
    </row>
    <row r="83" spans="1:5" x14ac:dyDescent="0.25">
      <c r="A83">
        <v>17</v>
      </c>
      <c r="B83">
        <v>0</v>
      </c>
      <c r="C83">
        <v>316.15213547680634</v>
      </c>
      <c r="D83">
        <v>-316.15213547680634</v>
      </c>
      <c r="E83">
        <v>0</v>
      </c>
    </row>
    <row r="84" spans="1:5" x14ac:dyDescent="0.25">
      <c r="A84">
        <v>18</v>
      </c>
      <c r="B84">
        <v>0</v>
      </c>
      <c r="C84">
        <v>422.77939168886616</v>
      </c>
      <c r="D84">
        <v>-422.77939168886616</v>
      </c>
      <c r="E84">
        <v>0</v>
      </c>
    </row>
    <row r="85" spans="1:5" x14ac:dyDescent="0.25">
      <c r="A85">
        <v>19</v>
      </c>
      <c r="B85">
        <v>0</v>
      </c>
      <c r="C85">
        <v>384.52753928991228</v>
      </c>
      <c r="D85">
        <v>-384.52753928991228</v>
      </c>
      <c r="E85">
        <v>0</v>
      </c>
    </row>
    <row r="86" spans="1:5" x14ac:dyDescent="0.25">
      <c r="A86">
        <v>20</v>
      </c>
      <c r="B86">
        <v>0</v>
      </c>
      <c r="C86">
        <v>373.47457492260247</v>
      </c>
      <c r="D86">
        <v>-373.47457492260247</v>
      </c>
      <c r="E86">
        <v>0</v>
      </c>
    </row>
    <row r="87" spans="1:5" x14ac:dyDescent="0.25">
      <c r="A87">
        <v>21</v>
      </c>
      <c r="B87">
        <v>0</v>
      </c>
      <c r="C87">
        <v>298.24010435680748</v>
      </c>
      <c r="D87">
        <v>-298.24010435680748</v>
      </c>
      <c r="E87">
        <v>0</v>
      </c>
    </row>
    <row r="88" spans="1:5" x14ac:dyDescent="0.25">
      <c r="A88">
        <v>22</v>
      </c>
      <c r="B88">
        <v>0</v>
      </c>
      <c r="C88">
        <v>288.85899260550127</v>
      </c>
      <c r="D88">
        <v>-288.85899260550127</v>
      </c>
      <c r="E88">
        <v>0</v>
      </c>
    </row>
    <row r="89" spans="1:5" x14ac:dyDescent="0.25">
      <c r="A89">
        <v>23</v>
      </c>
      <c r="B89">
        <v>0</v>
      </c>
      <c r="C89">
        <v>285.8093568045386</v>
      </c>
      <c r="D89">
        <v>-285.8093568045386</v>
      </c>
      <c r="E89">
        <v>0</v>
      </c>
    </row>
    <row r="91" spans="1:5" x14ac:dyDescent="0.25">
      <c r="A91" t="s">
        <v>52</v>
      </c>
    </row>
    <row r="92" spans="1:5" x14ac:dyDescent="0.25">
      <c r="A92" t="s">
        <v>53</v>
      </c>
      <c r="B92" t="s">
        <v>54</v>
      </c>
      <c r="C92" t="s">
        <v>22</v>
      </c>
    </row>
    <row r="93" spans="1:5" x14ac:dyDescent="0.25">
      <c r="A93">
        <v>1</v>
      </c>
      <c r="B93" t="s">
        <v>55</v>
      </c>
      <c r="C93">
        <v>9113.6096470588236</v>
      </c>
    </row>
    <row r="94" spans="1:5" x14ac:dyDescent="0.25">
      <c r="A94">
        <v>2</v>
      </c>
      <c r="B94" t="s">
        <v>56</v>
      </c>
      <c r="C94">
        <v>9108.6765882352956</v>
      </c>
    </row>
    <row r="95" spans="1:5" x14ac:dyDescent="0.25">
      <c r="A95">
        <v>3</v>
      </c>
      <c r="B95" t="s">
        <v>57</v>
      </c>
      <c r="C95">
        <v>9072.0942352941183</v>
      </c>
    </row>
    <row r="96" spans="1:5" x14ac:dyDescent="0.25">
      <c r="A96">
        <v>4</v>
      </c>
      <c r="B96" t="s">
        <v>58</v>
      </c>
      <c r="C96">
        <v>9064.1752941176455</v>
      </c>
    </row>
    <row r="97" spans="1:13" x14ac:dyDescent="0.25">
      <c r="A97">
        <v>5</v>
      </c>
      <c r="B97" t="s">
        <v>59</v>
      </c>
      <c r="C97">
        <v>9011.0837647058834</v>
      </c>
    </row>
    <row r="98" spans="1:13" x14ac:dyDescent="0.25">
      <c r="A98">
        <v>6</v>
      </c>
      <c r="B98" t="s">
        <v>60</v>
      </c>
      <c r="C98">
        <v>9001.3298823529421</v>
      </c>
    </row>
    <row r="99" spans="1:13" x14ac:dyDescent="0.25">
      <c r="A99">
        <v>7</v>
      </c>
      <c r="B99" t="s">
        <v>61</v>
      </c>
      <c r="C99">
        <v>8972.6971764705886</v>
      </c>
    </row>
    <row r="100" spans="1:13" x14ac:dyDescent="0.25">
      <c r="A100">
        <v>8</v>
      </c>
      <c r="B100" t="s">
        <v>62</v>
      </c>
      <c r="C100">
        <v>8940.6021176470604</v>
      </c>
    </row>
    <row r="101" spans="1:13" x14ac:dyDescent="0.25">
      <c r="A101">
        <v>9</v>
      </c>
      <c r="B101" t="s">
        <v>63</v>
      </c>
      <c r="C101">
        <v>8922.9017647058827</v>
      </c>
    </row>
    <row r="102" spans="1:13" x14ac:dyDescent="0.25">
      <c r="A102">
        <v>10</v>
      </c>
      <c r="B102" t="s">
        <v>64</v>
      </c>
      <c r="C102">
        <v>8921.3579999999984</v>
      </c>
    </row>
    <row r="104" spans="1:13" x14ac:dyDescent="0.25">
      <c r="A104" t="s">
        <v>65</v>
      </c>
    </row>
    <row r="105" spans="1:13" x14ac:dyDescent="0.25">
      <c r="A105" t="s">
        <v>47</v>
      </c>
      <c r="B105" t="s">
        <v>97</v>
      </c>
      <c r="C105" t="s">
        <v>98</v>
      </c>
      <c r="D105" t="s">
        <v>99</v>
      </c>
      <c r="E105" t="s">
        <v>100</v>
      </c>
      <c r="F105" t="s">
        <v>101</v>
      </c>
      <c r="G105" t="s">
        <v>102</v>
      </c>
      <c r="H105" t="s">
        <v>103</v>
      </c>
      <c r="I105" t="s">
        <v>104</v>
      </c>
      <c r="J105" t="s">
        <v>105</v>
      </c>
      <c r="K105" t="s">
        <v>106</v>
      </c>
      <c r="L105" t="s">
        <v>107</v>
      </c>
      <c r="M105" t="s">
        <v>108</v>
      </c>
    </row>
    <row r="106" spans="1:13" x14ac:dyDescent="0.25">
      <c r="A106">
        <v>0</v>
      </c>
      <c r="B106">
        <v>-279.14055648364518</v>
      </c>
      <c r="C106">
        <v>-277.83083308584281</v>
      </c>
      <c r="D106">
        <v>-279.14055648364518</v>
      </c>
      <c r="E106">
        <v>-275.57519834518331</v>
      </c>
      <c r="F106">
        <v>-279.14055648364518</v>
      </c>
      <c r="G106">
        <v>-278.73308698210661</v>
      </c>
      <c r="H106">
        <v>-276.08453522210641</v>
      </c>
      <c r="I106">
        <v>-279.14055648364518</v>
      </c>
      <c r="J106">
        <v>-275.57519834518331</v>
      </c>
      <c r="K106">
        <v>-279.14055648364518</v>
      </c>
      <c r="L106">
        <v>-278.73308698210661</v>
      </c>
      <c r="M106">
        <v>-276.08453522210641</v>
      </c>
    </row>
    <row r="107" spans="1:13" x14ac:dyDescent="0.25">
      <c r="A107">
        <v>1</v>
      </c>
      <c r="B107">
        <v>-279.14055648364518</v>
      </c>
      <c r="C107">
        <v>-277.83083308584281</v>
      </c>
      <c r="D107">
        <v>-279.14055648364518</v>
      </c>
      <c r="E107">
        <v>-275.57519834518331</v>
      </c>
      <c r="F107">
        <v>-279.14055648364518</v>
      </c>
      <c r="G107">
        <v>-278.73308698210661</v>
      </c>
      <c r="H107">
        <v>-276.08453522210641</v>
      </c>
      <c r="I107">
        <v>-279.14055648364518</v>
      </c>
      <c r="J107">
        <v>-275.57519834518331</v>
      </c>
      <c r="K107">
        <v>-279.14055648364518</v>
      </c>
      <c r="L107">
        <v>-278.73308698210661</v>
      </c>
      <c r="M107">
        <v>-276.08453522210641</v>
      </c>
    </row>
    <row r="108" spans="1:13" x14ac:dyDescent="0.25">
      <c r="A108">
        <v>2</v>
      </c>
      <c r="B108">
        <v>-279.14055648364518</v>
      </c>
      <c r="C108">
        <v>-277.83083308584281</v>
      </c>
      <c r="D108">
        <v>-279.14055648364518</v>
      </c>
      <c r="E108">
        <v>-275.57519834518331</v>
      </c>
      <c r="F108">
        <v>-279.14055648364518</v>
      </c>
      <c r="G108">
        <v>-278.73308698210661</v>
      </c>
      <c r="H108">
        <v>-276.08453522210641</v>
      </c>
      <c r="I108">
        <v>-279.14055648364518</v>
      </c>
      <c r="J108">
        <v>-275.57519834518331</v>
      </c>
      <c r="K108">
        <v>-279.14055648364518</v>
      </c>
      <c r="L108">
        <v>-278.73308698210661</v>
      </c>
      <c r="M108">
        <v>-276.08453522210641</v>
      </c>
    </row>
    <row r="109" spans="1:13" x14ac:dyDescent="0.25">
      <c r="A109">
        <v>3</v>
      </c>
      <c r="B109">
        <v>-248.50452411878399</v>
      </c>
      <c r="C109">
        <v>-247.33854453560011</v>
      </c>
      <c r="D109">
        <v>-248.50452411878399</v>
      </c>
      <c r="E109">
        <v>-245.33046858678347</v>
      </c>
      <c r="F109">
        <v>-248.50452411878399</v>
      </c>
      <c r="G109">
        <v>-248.1417749151268</v>
      </c>
      <c r="H109">
        <v>-245.783905091355</v>
      </c>
      <c r="I109">
        <v>-248.50452411878399</v>
      </c>
      <c r="J109">
        <v>-245.33046858678347</v>
      </c>
      <c r="K109">
        <v>-248.50452411878399</v>
      </c>
      <c r="L109">
        <v>-248.1417749151268</v>
      </c>
      <c r="M109">
        <v>-245.783905091355</v>
      </c>
    </row>
    <row r="110" spans="1:13" x14ac:dyDescent="0.25">
      <c r="A110">
        <v>4</v>
      </c>
      <c r="B110">
        <v>-277.92756365238404</v>
      </c>
      <c r="C110">
        <v>-276.62353159915727</v>
      </c>
      <c r="D110">
        <v>-277.92756365238404</v>
      </c>
      <c r="E110">
        <v>-274.30901626565884</v>
      </c>
      <c r="F110">
        <v>-276.87263386111249</v>
      </c>
      <c r="G110">
        <v>-277.48420596785076</v>
      </c>
      <c r="H110">
        <v>-274.88482219485502</v>
      </c>
      <c r="I110">
        <v>-277.92756365238404</v>
      </c>
      <c r="J110">
        <v>-271.69573391271763</v>
      </c>
      <c r="K110">
        <v>-263.10133594839908</v>
      </c>
      <c r="L110">
        <v>-263.66017067373298</v>
      </c>
      <c r="M110">
        <v>-273.09189240358364</v>
      </c>
    </row>
    <row r="111" spans="1:13" x14ac:dyDescent="0.25">
      <c r="A111">
        <v>5</v>
      </c>
      <c r="B111">
        <v>-78.925294589188809</v>
      </c>
      <c r="C111">
        <v>-99.12946184204371</v>
      </c>
      <c r="D111">
        <v>-97.420960623344399</v>
      </c>
      <c r="E111">
        <v>-69.334795313463701</v>
      </c>
      <c r="F111">
        <v>-64.093328744786504</v>
      </c>
      <c r="G111">
        <v>-99.975941394652153</v>
      </c>
      <c r="H111">
        <v>-131.46904316337077</v>
      </c>
      <c r="I111">
        <v>-116.63331356452089</v>
      </c>
      <c r="J111">
        <v>-42.929571784051952</v>
      </c>
      <c r="K111">
        <v>10.757946397528467</v>
      </c>
      <c r="L111">
        <v>9.4958233112302004</v>
      </c>
      <c r="M111">
        <v>-21.47117978576167</v>
      </c>
    </row>
    <row r="112" spans="1:13" x14ac:dyDescent="0.25">
      <c r="A112">
        <v>6</v>
      </c>
      <c r="B112">
        <v>287.74210862514968</v>
      </c>
      <c r="C112">
        <v>249.13827586483529</v>
      </c>
      <c r="D112">
        <v>228.77400615835646</v>
      </c>
      <c r="E112">
        <v>244.5283825161892</v>
      </c>
      <c r="F112">
        <v>253.89158870105106</v>
      </c>
      <c r="G112">
        <v>170.27561555723489</v>
      </c>
      <c r="H112">
        <v>128.26984135582654</v>
      </c>
      <c r="I112">
        <v>150.3216721925121</v>
      </c>
      <c r="J112">
        <v>267.74622957501265</v>
      </c>
      <c r="K112">
        <v>342.31131166120286</v>
      </c>
      <c r="L112">
        <v>341.71223908664666</v>
      </c>
      <c r="M112">
        <v>301.84425122299928</v>
      </c>
    </row>
    <row r="113" spans="1:13" x14ac:dyDescent="0.25">
      <c r="A113">
        <v>7</v>
      </c>
      <c r="B113">
        <v>561.26741296158104</v>
      </c>
      <c r="C113">
        <v>533.39716137927985</v>
      </c>
      <c r="D113">
        <v>503.01948127277655</v>
      </c>
      <c r="E113">
        <v>517.28449770649308</v>
      </c>
      <c r="F113">
        <v>509.16202396727351</v>
      </c>
      <c r="G113">
        <v>398.87365626015918</v>
      </c>
      <c r="H113">
        <v>358.36126331761574</v>
      </c>
      <c r="I113">
        <v>397.19461220256773</v>
      </c>
      <c r="J113">
        <v>548.84636829472834</v>
      </c>
      <c r="K113">
        <v>594.51255907163784</v>
      </c>
      <c r="L113">
        <v>565.90553861310025</v>
      </c>
      <c r="M113">
        <v>552.88528229294764</v>
      </c>
    </row>
    <row r="114" spans="1:13" x14ac:dyDescent="0.25">
      <c r="A114">
        <v>8</v>
      </c>
      <c r="B114">
        <v>791.13861922052911</v>
      </c>
      <c r="C114">
        <v>769.70804877498915</v>
      </c>
      <c r="D114">
        <v>711.25844464747411</v>
      </c>
      <c r="E114">
        <v>702.65113529525217</v>
      </c>
      <c r="F114">
        <v>718.5057501503203</v>
      </c>
      <c r="G114">
        <v>601.78031887276632</v>
      </c>
      <c r="H114">
        <v>549.6749880544337</v>
      </c>
      <c r="I114">
        <v>597.55131751274928</v>
      </c>
      <c r="J114">
        <v>750.13167647172281</v>
      </c>
      <c r="K114">
        <v>756.57438392641131</v>
      </c>
      <c r="L114">
        <v>738.21431887276628</v>
      </c>
      <c r="M114">
        <v>738.89686281724187</v>
      </c>
    </row>
    <row r="115" spans="1:13" x14ac:dyDescent="0.25">
      <c r="A115">
        <v>9</v>
      </c>
      <c r="B115">
        <v>860.25920821144166</v>
      </c>
      <c r="C115">
        <v>871.13386050553345</v>
      </c>
      <c r="D115">
        <v>808.89574711087221</v>
      </c>
      <c r="E115">
        <v>780.18555187477068</v>
      </c>
      <c r="F115">
        <v>773.67729549796911</v>
      </c>
      <c r="G115">
        <v>673.14818631077992</v>
      </c>
      <c r="H115">
        <v>634.5330041082824</v>
      </c>
      <c r="I115">
        <v>672.19169018487594</v>
      </c>
      <c r="J115">
        <v>794.33824599241768</v>
      </c>
      <c r="K115">
        <v>814.28164084901289</v>
      </c>
      <c r="L115">
        <v>806.31649219313294</v>
      </c>
      <c r="M115">
        <v>792.52791871928844</v>
      </c>
    </row>
    <row r="116" spans="1:13" x14ac:dyDescent="0.25">
      <c r="A116">
        <v>10</v>
      </c>
      <c r="B116">
        <v>870.86575010742604</v>
      </c>
      <c r="C116">
        <v>861.54414726169978</v>
      </c>
      <c r="D116">
        <v>816.79231557232163</v>
      </c>
      <c r="E116">
        <v>753.84161098817845</v>
      </c>
      <c r="F116">
        <v>725.97688483228387</v>
      </c>
      <c r="G116">
        <v>661.28389588875552</v>
      </c>
      <c r="H116">
        <v>629.34989944462825</v>
      </c>
      <c r="I116">
        <v>656.41023208086062</v>
      </c>
      <c r="J116">
        <v>752.18550510582543</v>
      </c>
      <c r="K116">
        <v>748.82858502203715</v>
      </c>
      <c r="L116">
        <v>750.78190765346164</v>
      </c>
      <c r="M116">
        <v>764.00803606701902</v>
      </c>
    </row>
    <row r="117" spans="1:13" x14ac:dyDescent="0.25">
      <c r="A117">
        <v>11</v>
      </c>
      <c r="B117">
        <v>758.99485137771194</v>
      </c>
      <c r="C117">
        <v>758.59533963197737</v>
      </c>
      <c r="D117">
        <v>744.32372424298705</v>
      </c>
      <c r="E117">
        <v>677.52752103719899</v>
      </c>
      <c r="F117">
        <v>629.74405820883146</v>
      </c>
      <c r="G117">
        <v>557.6241823640064</v>
      </c>
      <c r="H117">
        <v>577.61371043526083</v>
      </c>
      <c r="I117">
        <v>580.20676029611809</v>
      </c>
      <c r="J117">
        <v>613.79527397837558</v>
      </c>
      <c r="K117">
        <v>622.12695004943862</v>
      </c>
      <c r="L117">
        <v>627.38512354047691</v>
      </c>
      <c r="M117">
        <v>694.71071233279406</v>
      </c>
    </row>
    <row r="118" spans="1:13" x14ac:dyDescent="0.25">
      <c r="A118">
        <v>12</v>
      </c>
      <c r="B118">
        <v>678.32016536002982</v>
      </c>
      <c r="C118">
        <v>656.82907720983007</v>
      </c>
      <c r="D118">
        <v>618.1196947717948</v>
      </c>
      <c r="E118">
        <v>604.39337702958426</v>
      </c>
      <c r="F118">
        <v>552.89630198242082</v>
      </c>
      <c r="G118">
        <v>522.0841431642815</v>
      </c>
      <c r="H118">
        <v>559.6112911120307</v>
      </c>
      <c r="I118">
        <v>554.06688262758212</v>
      </c>
      <c r="J118">
        <v>507.71735350017263</v>
      </c>
      <c r="K118">
        <v>469.4009623239769</v>
      </c>
      <c r="L118">
        <v>507.04651963486987</v>
      </c>
      <c r="M118">
        <v>590.41776170026594</v>
      </c>
    </row>
    <row r="119" spans="1:13" x14ac:dyDescent="0.25">
      <c r="A119">
        <v>13</v>
      </c>
      <c r="B119">
        <v>447.62748122494776</v>
      </c>
      <c r="C119">
        <v>467.3037044183697</v>
      </c>
      <c r="D119">
        <v>415.52928008642783</v>
      </c>
      <c r="E119">
        <v>410.50050678089718</v>
      </c>
      <c r="F119">
        <v>334.74801253424579</v>
      </c>
      <c r="G119">
        <v>333.4670434733589</v>
      </c>
      <c r="H119">
        <v>379.93613452066791</v>
      </c>
      <c r="I119">
        <v>362.77756471640896</v>
      </c>
      <c r="J119">
        <v>297.29617736913235</v>
      </c>
      <c r="K119">
        <v>293.92790627238617</v>
      </c>
      <c r="L119">
        <v>291.38981994394715</v>
      </c>
      <c r="M119">
        <v>384.90836981478554</v>
      </c>
    </row>
    <row r="120" spans="1:13" x14ac:dyDescent="0.25">
      <c r="A120">
        <v>14</v>
      </c>
      <c r="B120">
        <v>228.48749896369469</v>
      </c>
      <c r="C120">
        <v>256.58577775735216</v>
      </c>
      <c r="D120">
        <v>206.3717835936757</v>
      </c>
      <c r="E120">
        <v>155.75211966669025</v>
      </c>
      <c r="F120">
        <v>105.23781015914065</v>
      </c>
      <c r="G120">
        <v>119.75604452302865</v>
      </c>
      <c r="H120">
        <v>159.33839141771259</v>
      </c>
      <c r="I120">
        <v>134.94009858418809</v>
      </c>
      <c r="J120">
        <v>88.380484372572553</v>
      </c>
      <c r="K120">
        <v>65.904872777736458</v>
      </c>
      <c r="L120">
        <v>75.594032758322754</v>
      </c>
      <c r="M120">
        <v>147.27296067767458</v>
      </c>
    </row>
    <row r="121" spans="1:13" x14ac:dyDescent="0.25">
      <c r="A121">
        <v>15</v>
      </c>
      <c r="B121">
        <v>-139.437472607682</v>
      </c>
      <c r="C121">
        <v>-123.67669044430167</v>
      </c>
      <c r="D121">
        <v>-158.38009879364023</v>
      </c>
      <c r="E121">
        <v>-204.10746233939511</v>
      </c>
      <c r="F121">
        <v>-236.79011397390585</v>
      </c>
      <c r="G121">
        <v>-226.30183580391127</v>
      </c>
      <c r="H121">
        <v>-193.84188917902298</v>
      </c>
      <c r="I121">
        <v>-208.33300201944664</v>
      </c>
      <c r="J121">
        <v>-229.16250939821867</v>
      </c>
      <c r="K121">
        <v>-262.99565477086986</v>
      </c>
      <c r="L121">
        <v>-254.76163580391139</v>
      </c>
      <c r="M121">
        <v>-201.00459126630955</v>
      </c>
    </row>
    <row r="122" spans="1:13" x14ac:dyDescent="0.25">
      <c r="A122">
        <v>16</v>
      </c>
      <c r="B122">
        <v>-298.72457536613445</v>
      </c>
      <c r="C122">
        <v>-295.33356705830926</v>
      </c>
      <c r="D122">
        <v>-298.57302697903771</v>
      </c>
      <c r="E122">
        <v>-294.95898248894991</v>
      </c>
      <c r="F122">
        <v>-298.77512565076438</v>
      </c>
      <c r="G122">
        <v>-298.33899500369989</v>
      </c>
      <c r="H122">
        <v>-295.50414579778055</v>
      </c>
      <c r="I122">
        <v>-298.77512565076438</v>
      </c>
      <c r="J122">
        <v>-294.95898248894991</v>
      </c>
      <c r="K122">
        <v>-298.77512565076438</v>
      </c>
      <c r="L122">
        <v>-298.33899500369989</v>
      </c>
      <c r="M122">
        <v>-295.50414579778055</v>
      </c>
    </row>
    <row r="123" spans="1:13" x14ac:dyDescent="0.25">
      <c r="A123">
        <v>17</v>
      </c>
      <c r="B123">
        <v>-317.60012299056768</v>
      </c>
      <c r="C123">
        <v>-316.10994787067148</v>
      </c>
      <c r="D123">
        <v>-317.60012299056768</v>
      </c>
      <c r="E123">
        <v>-313.54353516418337</v>
      </c>
      <c r="F123">
        <v>-317.60012299056768</v>
      </c>
      <c r="G123">
        <v>-317.13651295326667</v>
      </c>
      <c r="H123">
        <v>-314.12304771080966</v>
      </c>
      <c r="I123">
        <v>-317.60012299056768</v>
      </c>
      <c r="J123">
        <v>-313.54353516418337</v>
      </c>
      <c r="K123">
        <v>-317.60012299056768</v>
      </c>
      <c r="L123">
        <v>-317.13651295326667</v>
      </c>
      <c r="M123">
        <v>-314.12304771080966</v>
      </c>
    </row>
    <row r="124" spans="1:13" x14ac:dyDescent="0.25">
      <c r="A124">
        <v>18</v>
      </c>
      <c r="B124">
        <v>-424.71573565604496</v>
      </c>
      <c r="C124">
        <v>-422.7229756522284</v>
      </c>
      <c r="D124">
        <v>-424.71573565604496</v>
      </c>
      <c r="E124">
        <v>-419.29100009009977</v>
      </c>
      <c r="F124">
        <v>-424.71573565604496</v>
      </c>
      <c r="G124">
        <v>-424.09576587707971</v>
      </c>
      <c r="H124">
        <v>-420.06596231380615</v>
      </c>
      <c r="I124">
        <v>-424.7157356560449</v>
      </c>
      <c r="J124">
        <v>-419.29100009009983</v>
      </c>
      <c r="K124">
        <v>-424.71573565604496</v>
      </c>
      <c r="L124">
        <v>-424.09576587707977</v>
      </c>
      <c r="M124">
        <v>-420.06596231380621</v>
      </c>
    </row>
    <row r="125" spans="1:13" x14ac:dyDescent="0.25">
      <c r="A125">
        <v>19</v>
      </c>
      <c r="B125">
        <v>-386.28868847446455</v>
      </c>
      <c r="C125">
        <v>-384.47622761254291</v>
      </c>
      <c r="D125">
        <v>-386.28868847446455</v>
      </c>
      <c r="E125">
        <v>-381.35476723923335</v>
      </c>
      <c r="F125">
        <v>-386.28868847446455</v>
      </c>
      <c r="G125">
        <v>-385.7248117618667</v>
      </c>
      <c r="H125">
        <v>-382.05961312998068</v>
      </c>
      <c r="I125">
        <v>-386.28868847446455</v>
      </c>
      <c r="J125">
        <v>-381.35476723923335</v>
      </c>
      <c r="K125">
        <v>-386.28868847446455</v>
      </c>
      <c r="L125">
        <v>-385.7248117618667</v>
      </c>
      <c r="M125">
        <v>-382.05961312998068</v>
      </c>
    </row>
    <row r="126" spans="1:13" x14ac:dyDescent="0.25">
      <c r="A126">
        <v>20</v>
      </c>
      <c r="B126">
        <v>-375.18510115510941</v>
      </c>
      <c r="C126">
        <v>-373.42473816207126</v>
      </c>
      <c r="D126">
        <v>-375.18510115510946</v>
      </c>
      <c r="E126">
        <v>-370.39300189628312</v>
      </c>
      <c r="F126">
        <v>-375.18510115510946</v>
      </c>
      <c r="G126">
        <v>-374.63743266838645</v>
      </c>
      <c r="H126">
        <v>-371.0775875046869</v>
      </c>
      <c r="I126">
        <v>-375.18510115510941</v>
      </c>
      <c r="J126">
        <v>-370.39300189628312</v>
      </c>
      <c r="K126">
        <v>-375.18510115510941</v>
      </c>
      <c r="L126">
        <v>-374.63743266838645</v>
      </c>
      <c r="M126">
        <v>-371.0775875046869</v>
      </c>
    </row>
    <row r="127" spans="1:13" x14ac:dyDescent="0.25">
      <c r="A127">
        <v>21</v>
      </c>
      <c r="B127">
        <v>-299.60605415992899</v>
      </c>
      <c r="C127">
        <v>-298.20030694712858</v>
      </c>
      <c r="D127">
        <v>-299.60605415992899</v>
      </c>
      <c r="E127">
        <v>-295.77929785841667</v>
      </c>
      <c r="F127">
        <v>-299.60605415992899</v>
      </c>
      <c r="G127">
        <v>-299.1687105826133</v>
      </c>
      <c r="H127">
        <v>-296.32597733006128</v>
      </c>
      <c r="I127">
        <v>-299.60605415992899</v>
      </c>
      <c r="J127">
        <v>-295.77929785841667</v>
      </c>
      <c r="K127">
        <v>-299.60605415992899</v>
      </c>
      <c r="L127">
        <v>-299.1687105826133</v>
      </c>
      <c r="M127">
        <v>-296.32597733006128</v>
      </c>
    </row>
    <row r="128" spans="1:13" x14ac:dyDescent="0.25">
      <c r="A128">
        <v>22</v>
      </c>
      <c r="B128">
        <v>-290.18197659831606</v>
      </c>
      <c r="C128">
        <v>-288.82044701924269</v>
      </c>
      <c r="D128">
        <v>-290.18197659831606</v>
      </c>
      <c r="E128">
        <v>-286.47559052194987</v>
      </c>
      <c r="F128">
        <v>-290.18197659831606</v>
      </c>
      <c r="G128">
        <v>-289.75838961815987</v>
      </c>
      <c r="H128">
        <v>-287.00507424714505</v>
      </c>
      <c r="I128">
        <v>-290.18197659831606</v>
      </c>
      <c r="J128">
        <v>-286.47559052194987</v>
      </c>
      <c r="K128">
        <v>-290.18197659831606</v>
      </c>
      <c r="L128">
        <v>-289.75838961815987</v>
      </c>
      <c r="M128">
        <v>-287.00507424714505</v>
      </c>
    </row>
    <row r="129" spans="1:13" x14ac:dyDescent="0.25">
      <c r="A129">
        <v>23</v>
      </c>
      <c r="B129">
        <v>-287.11837336185482</v>
      </c>
      <c r="C129">
        <v>-285.77121816424278</v>
      </c>
      <c r="D129">
        <v>-287.11837336185482</v>
      </c>
      <c r="E129">
        <v>-283.45111754613328</v>
      </c>
      <c r="F129">
        <v>-287.11837336185482</v>
      </c>
      <c r="G129">
        <v>-286.69925841148665</v>
      </c>
      <c r="H129">
        <v>-283.97501123409353</v>
      </c>
      <c r="I129">
        <v>-287.11837336185482</v>
      </c>
      <c r="J129">
        <v>-283.45111754613328</v>
      </c>
      <c r="K129">
        <v>-287.11837336185482</v>
      </c>
      <c r="L129">
        <v>-286.69925841148665</v>
      </c>
      <c r="M129">
        <v>-283.97501123409353</v>
      </c>
    </row>
    <row r="131" spans="1:13" x14ac:dyDescent="0.25">
      <c r="A131" t="s">
        <v>96</v>
      </c>
    </row>
    <row r="132" spans="1:13" x14ac:dyDescent="0.25">
      <c r="A132" t="s">
        <v>47</v>
      </c>
      <c r="B132" t="s">
        <v>97</v>
      </c>
      <c r="C132" t="s">
        <v>98</v>
      </c>
      <c r="D132" t="s">
        <v>99</v>
      </c>
      <c r="E132" t="s">
        <v>100</v>
      </c>
      <c r="F132" t="s">
        <v>101</v>
      </c>
      <c r="G132" t="s">
        <v>102</v>
      </c>
      <c r="H132" t="s">
        <v>103</v>
      </c>
      <c r="I132" t="s">
        <v>104</v>
      </c>
      <c r="J132" t="s">
        <v>105</v>
      </c>
      <c r="K132" t="s">
        <v>106</v>
      </c>
      <c r="L132" t="s">
        <v>107</v>
      </c>
      <c r="M132" t="s">
        <v>108</v>
      </c>
    </row>
    <row r="133" spans="1:13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>
        <v>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>
        <v>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25">
      <c r="A136">
        <v>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25">
      <c r="A137">
        <v>4</v>
      </c>
      <c r="B137">
        <v>0</v>
      </c>
      <c r="C137">
        <v>0</v>
      </c>
      <c r="D137">
        <v>0</v>
      </c>
      <c r="E137">
        <v>6.8682352941176472E-2</v>
      </c>
      <c r="F137">
        <v>1.0549297912713473</v>
      </c>
      <c r="G137">
        <v>3.7658823529411758E-2</v>
      </c>
      <c r="H137">
        <v>0</v>
      </c>
      <c r="I137">
        <v>0</v>
      </c>
      <c r="J137">
        <v>2.6819647058823528</v>
      </c>
      <c r="K137">
        <v>14.826227703984818</v>
      </c>
      <c r="L137">
        <v>13.861694117647062</v>
      </c>
      <c r="M137">
        <v>1.7929297912713473</v>
      </c>
    </row>
    <row r="138" spans="1:13" x14ac:dyDescent="0.25">
      <c r="A138">
        <v>5</v>
      </c>
      <c r="B138">
        <v>162.33229981024672</v>
      </c>
      <c r="C138">
        <v>140.99615546218484</v>
      </c>
      <c r="D138">
        <v>143.83663377609108</v>
      </c>
      <c r="E138">
        <v>168.84130588235297</v>
      </c>
      <c r="F138">
        <v>177.16426565464894</v>
      </c>
      <c r="G138">
        <v>140.92948235294116</v>
      </c>
      <c r="H138">
        <v>107.14727134724858</v>
      </c>
      <c r="I138">
        <v>124.6242808349146</v>
      </c>
      <c r="J138">
        <v>195.24652941176473</v>
      </c>
      <c r="K138">
        <v>252.0155407969639</v>
      </c>
      <c r="L138">
        <v>250.40124705882351</v>
      </c>
      <c r="M138">
        <v>217.14513472485768</v>
      </c>
    </row>
    <row r="139" spans="1:13" x14ac:dyDescent="0.25">
      <c r="A139">
        <v>6</v>
      </c>
      <c r="B139">
        <v>498.96399620493355</v>
      </c>
      <c r="C139">
        <v>459.36911344537822</v>
      </c>
      <c r="D139">
        <v>439.99589373814035</v>
      </c>
      <c r="E139">
        <v>453.05241176470582</v>
      </c>
      <c r="F139">
        <v>465.1134762808349</v>
      </c>
      <c r="G139">
        <v>381.18917647058845</v>
      </c>
      <c r="H139">
        <v>337.17927893738141</v>
      </c>
      <c r="I139">
        <v>361.54355977229591</v>
      </c>
      <c r="J139">
        <v>476.27025882352939</v>
      </c>
      <c r="K139">
        <v>553.53319924098685</v>
      </c>
      <c r="L139">
        <v>552.6257999999998</v>
      </c>
      <c r="M139">
        <v>510.75368880455403</v>
      </c>
    </row>
    <row r="140" spans="1:13" x14ac:dyDescent="0.25">
      <c r="A140">
        <v>7</v>
      </c>
      <c r="B140">
        <v>784.72034914611027</v>
      </c>
      <c r="C140">
        <v>755.80165966386551</v>
      </c>
      <c r="D140">
        <v>726.47241745730537</v>
      </c>
      <c r="E140">
        <v>737.88335294117667</v>
      </c>
      <c r="F140">
        <v>732.61496015180251</v>
      </c>
      <c r="G140">
        <v>622.00041176470597</v>
      </c>
      <c r="H140">
        <v>579.36784440227711</v>
      </c>
      <c r="I140">
        <v>620.64754838709678</v>
      </c>
      <c r="J140">
        <v>769.44522352941181</v>
      </c>
      <c r="K140">
        <v>817.96549525616695</v>
      </c>
      <c r="L140">
        <v>789.03229411764687</v>
      </c>
      <c r="M140">
        <v>773.89186337760907</v>
      </c>
    </row>
    <row r="141" spans="1:13" x14ac:dyDescent="0.25">
      <c r="A141">
        <v>8</v>
      </c>
      <c r="B141">
        <v>1032.1954838709676</v>
      </c>
      <c r="C141">
        <v>1009.6338781512605</v>
      </c>
      <c r="D141">
        <v>952.31530929791256</v>
      </c>
      <c r="E141">
        <v>940.62907058823521</v>
      </c>
      <c r="F141">
        <v>959.56261480075887</v>
      </c>
      <c r="G141">
        <v>842.48530588235303</v>
      </c>
      <c r="H141">
        <v>788.092770398482</v>
      </c>
      <c r="I141">
        <v>838.60818216318785</v>
      </c>
      <c r="J141">
        <v>988.10961176470619</v>
      </c>
      <c r="K141">
        <v>997.63124857685023</v>
      </c>
      <c r="L141">
        <v>978.91930588235277</v>
      </c>
      <c r="M141">
        <v>977.3146451612904</v>
      </c>
    </row>
    <row r="142" spans="1:13" x14ac:dyDescent="0.25">
      <c r="A142">
        <v>9</v>
      </c>
      <c r="B142">
        <v>1154.6333282732446</v>
      </c>
      <c r="C142">
        <v>1164.1267815126052</v>
      </c>
      <c r="D142">
        <v>1103.2698671726757</v>
      </c>
      <c r="E142">
        <v>1070.7997411764707</v>
      </c>
      <c r="F142">
        <v>1068.0514155597723</v>
      </c>
      <c r="G142">
        <v>967.09259999999995</v>
      </c>
      <c r="H142">
        <v>925.68432637571163</v>
      </c>
      <c r="I142">
        <v>966.56581024667923</v>
      </c>
      <c r="J142">
        <v>1084.952435294118</v>
      </c>
      <c r="K142">
        <v>1108.6557609108158</v>
      </c>
      <c r="L142">
        <v>1100.2609058823532</v>
      </c>
      <c r="M142">
        <v>1083.6792409867173</v>
      </c>
    </row>
    <row r="143" spans="1:13" x14ac:dyDescent="0.25">
      <c r="A143">
        <v>10</v>
      </c>
      <c r="B143">
        <v>1212.6399165085386</v>
      </c>
      <c r="C143">
        <v>1201.7147142857143</v>
      </c>
      <c r="D143">
        <v>1158.5664819734347</v>
      </c>
      <c r="E143">
        <v>1091.2504235294118</v>
      </c>
      <c r="F143">
        <v>1067.7510512333968</v>
      </c>
      <c r="G143">
        <v>1002.5591647058822</v>
      </c>
      <c r="H143">
        <v>967.3823339658444</v>
      </c>
      <c r="I143">
        <v>998.18439848197352</v>
      </c>
      <c r="J143">
        <v>1089.5943176470589</v>
      </c>
      <c r="K143">
        <v>1090.6027514231498</v>
      </c>
      <c r="L143">
        <v>1092.0571764705883</v>
      </c>
      <c r="M143">
        <v>1102.0404705882352</v>
      </c>
    </row>
    <row r="144" spans="1:13" x14ac:dyDescent="0.25">
      <c r="A144">
        <v>11</v>
      </c>
      <c r="B144">
        <v>1144.6855787476284</v>
      </c>
      <c r="C144">
        <v>1142.476411764706</v>
      </c>
      <c r="D144">
        <v>1130.0144516129033</v>
      </c>
      <c r="E144">
        <v>1058.2919647058823</v>
      </c>
      <c r="F144">
        <v>1015.4347855787476</v>
      </c>
      <c r="G144">
        <v>942.75190588235284</v>
      </c>
      <c r="H144">
        <v>959.08190891840616</v>
      </c>
      <c r="I144">
        <v>965.89748766603395</v>
      </c>
      <c r="J144">
        <v>994.55971764705873</v>
      </c>
      <c r="K144">
        <v>1007.8176774193547</v>
      </c>
      <c r="L144">
        <v>1012.5128470588236</v>
      </c>
      <c r="M144">
        <v>1076.1789108159394</v>
      </c>
    </row>
    <row r="145" spans="1:13" x14ac:dyDescent="0.25">
      <c r="A145">
        <v>12</v>
      </c>
      <c r="B145">
        <v>985.25964705882359</v>
      </c>
      <c r="C145">
        <v>962.32840336134473</v>
      </c>
      <c r="D145">
        <v>925.05917647058823</v>
      </c>
      <c r="E145">
        <v>907.41243529411759</v>
      </c>
      <c r="F145">
        <v>859.83578368121425</v>
      </c>
      <c r="G145">
        <v>828.57557647058832</v>
      </c>
      <c r="H145">
        <v>863.19040986717278</v>
      </c>
      <c r="I145">
        <v>861.00636432637555</v>
      </c>
      <c r="J145">
        <v>810.73641176470585</v>
      </c>
      <c r="K145">
        <v>776.34044402277061</v>
      </c>
      <c r="L145">
        <v>813.53795294117663</v>
      </c>
      <c r="M145">
        <v>893.9968804554079</v>
      </c>
    </row>
    <row r="146" spans="1:13" x14ac:dyDescent="0.25">
      <c r="A146">
        <v>13</v>
      </c>
      <c r="B146">
        <v>747.64670208728637</v>
      </c>
      <c r="C146">
        <v>765.91523949579823</v>
      </c>
      <c r="D146">
        <v>715.54850094876656</v>
      </c>
      <c r="E146">
        <v>706.68769411764708</v>
      </c>
      <c r="F146">
        <v>634.76723339658452</v>
      </c>
      <c r="G146">
        <v>633.04831764705875</v>
      </c>
      <c r="H146">
        <v>676.67075521821641</v>
      </c>
      <c r="I146">
        <v>662.79678557874797</v>
      </c>
      <c r="J146">
        <v>593.48336470588231</v>
      </c>
      <c r="K146">
        <v>593.94712713472484</v>
      </c>
      <c r="L146">
        <v>590.971094117647</v>
      </c>
      <c r="M146">
        <v>681.64299051233411</v>
      </c>
    </row>
    <row r="147" spans="1:13" x14ac:dyDescent="0.25">
      <c r="A147">
        <v>14</v>
      </c>
      <c r="B147">
        <v>496.06691840607198</v>
      </c>
      <c r="C147">
        <v>522.9097184873948</v>
      </c>
      <c r="D147">
        <v>473.95120303605319</v>
      </c>
      <c r="E147">
        <v>419.91384705882336</v>
      </c>
      <c r="F147">
        <v>372.81722960151808</v>
      </c>
      <c r="G147">
        <v>386.94487058823518</v>
      </c>
      <c r="H147">
        <v>423.98836053130941</v>
      </c>
      <c r="I147">
        <v>402.51951802656544</v>
      </c>
      <c r="J147">
        <v>352.54221176470583</v>
      </c>
      <c r="K147">
        <v>333.48429222011384</v>
      </c>
      <c r="L147">
        <v>342.78285882352947</v>
      </c>
      <c r="M147">
        <v>411.92292979127126</v>
      </c>
    </row>
    <row r="148" spans="1:13" x14ac:dyDescent="0.25">
      <c r="A148">
        <v>15</v>
      </c>
      <c r="B148">
        <v>210.47000379506636</v>
      </c>
      <c r="C148">
        <v>224.58902521008397</v>
      </c>
      <c r="D148">
        <v>191.5273776091081</v>
      </c>
      <c r="E148">
        <v>141.33077647058823</v>
      </c>
      <c r="F148">
        <v>113.11736242884251</v>
      </c>
      <c r="G148">
        <v>123.09487058823528</v>
      </c>
      <c r="H148">
        <v>152.23481214421253</v>
      </c>
      <c r="I148">
        <v>141.57447438330172</v>
      </c>
      <c r="J148">
        <v>116.27572941176469</v>
      </c>
      <c r="K148">
        <v>86.911821631878567</v>
      </c>
      <c r="L148">
        <v>94.635070588235308</v>
      </c>
      <c r="M148">
        <v>145.07211005692602</v>
      </c>
    </row>
    <row r="149" spans="1:13" x14ac:dyDescent="0.25">
      <c r="A149">
        <v>16</v>
      </c>
      <c r="B149">
        <v>5.0550284629981027E-2</v>
      </c>
      <c r="C149">
        <v>2.0397100840336138</v>
      </c>
      <c r="D149">
        <v>0.20209867172675516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25">
      <c r="A150">
        <v>17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25">
      <c r="A151">
        <v>18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25">
      <c r="A152">
        <v>19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25">
      <c r="A153">
        <v>20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25">
      <c r="A154">
        <v>21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>
        <v>22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25">
      <c r="A156">
        <v>23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54"/>
  <sheetViews>
    <sheetView tabSelected="1" topLeftCell="A223" zoomScale="85" zoomScaleNormal="85" workbookViewId="0">
      <selection activeCell="E229" sqref="E229"/>
    </sheetView>
  </sheetViews>
  <sheetFormatPr baseColWidth="10" defaultColWidth="9.140625" defaultRowHeight="15" x14ac:dyDescent="0.25"/>
  <cols>
    <col min="1" max="1" width="9.140625" customWidth="1"/>
    <col min="2" max="13" width="14.42578125" customWidth="1"/>
  </cols>
  <sheetData>
    <row r="2" spans="1:8" ht="15.75" x14ac:dyDescent="0.25">
      <c r="A2" s="22" t="s">
        <v>79</v>
      </c>
      <c r="B2" s="17"/>
      <c r="C2" s="17"/>
      <c r="D2" s="17"/>
      <c r="E2" s="17"/>
      <c r="F2" s="17"/>
      <c r="G2" s="17"/>
      <c r="H2" s="17"/>
    </row>
    <row r="19" spans="1:8" ht="15.75" x14ac:dyDescent="0.25">
      <c r="A19" s="22" t="s">
        <v>80</v>
      </c>
      <c r="B19" s="17"/>
      <c r="C19" s="17"/>
      <c r="D19" s="17"/>
      <c r="E19" s="17"/>
      <c r="F19" s="17"/>
      <c r="G19" s="17"/>
      <c r="H19" s="17"/>
    </row>
    <row r="36" spans="1:13" ht="15.75" x14ac:dyDescent="0.25">
      <c r="A36" s="22" t="s">
        <v>81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x14ac:dyDescent="0.25">
      <c r="A37" s="1" t="s">
        <v>47</v>
      </c>
      <c r="B37" s="1" t="s">
        <v>67</v>
      </c>
      <c r="C37" s="1" t="s">
        <v>68</v>
      </c>
      <c r="D37" s="1" t="s">
        <v>69</v>
      </c>
      <c r="E37" s="1" t="s">
        <v>70</v>
      </c>
      <c r="F37" s="1" t="s">
        <v>71</v>
      </c>
      <c r="G37" s="1" t="s">
        <v>72</v>
      </c>
      <c r="H37" s="1" t="s">
        <v>73</v>
      </c>
      <c r="I37" s="1" t="s">
        <v>74</v>
      </c>
      <c r="J37" s="1" t="s">
        <v>75</v>
      </c>
      <c r="K37" s="1" t="s">
        <v>76</v>
      </c>
      <c r="L37" s="1" t="s">
        <v>77</v>
      </c>
      <c r="M37" s="1" t="s">
        <v>78</v>
      </c>
    </row>
    <row r="38" spans="1:13" x14ac:dyDescent="0.25">
      <c r="A38" s="1">
        <v>0</v>
      </c>
      <c r="B38" s="3">
        <f>+DATOS!B133</f>
        <v>0</v>
      </c>
      <c r="C38" s="3">
        <f>+DATOS!C133</f>
        <v>0</v>
      </c>
      <c r="D38" s="3">
        <f>+DATOS!D133</f>
        <v>0</v>
      </c>
      <c r="E38" s="3">
        <f>+DATOS!E133</f>
        <v>0</v>
      </c>
      <c r="F38" s="3">
        <f>+DATOS!F133</f>
        <v>0</v>
      </c>
      <c r="G38" s="3">
        <f>+DATOS!G133</f>
        <v>0</v>
      </c>
      <c r="H38" s="3">
        <f>+DATOS!H133</f>
        <v>0</v>
      </c>
      <c r="I38" s="3">
        <f>+DATOS!I133</f>
        <v>0</v>
      </c>
      <c r="J38" s="3">
        <f>+DATOS!J133</f>
        <v>0</v>
      </c>
      <c r="K38" s="3">
        <f>+DATOS!K133</f>
        <v>0</v>
      </c>
      <c r="L38" s="3">
        <f>+DATOS!L133</f>
        <v>0</v>
      </c>
      <c r="M38" s="3">
        <f>+DATOS!M133</f>
        <v>0</v>
      </c>
    </row>
    <row r="39" spans="1:13" x14ac:dyDescent="0.25">
      <c r="A39" s="1">
        <v>1</v>
      </c>
      <c r="B39" s="3">
        <f>+DATOS!B134</f>
        <v>0</v>
      </c>
      <c r="C39" s="3">
        <f>+DATOS!C134</f>
        <v>0</v>
      </c>
      <c r="D39" s="3">
        <f>+DATOS!D134</f>
        <v>0</v>
      </c>
      <c r="E39" s="3">
        <f>+DATOS!E134</f>
        <v>0</v>
      </c>
      <c r="F39" s="3">
        <f>+DATOS!F134</f>
        <v>0</v>
      </c>
      <c r="G39" s="3">
        <f>+DATOS!G134</f>
        <v>0</v>
      </c>
      <c r="H39" s="3">
        <f>+DATOS!H134</f>
        <v>0</v>
      </c>
      <c r="I39" s="3">
        <f>+DATOS!I134</f>
        <v>0</v>
      </c>
      <c r="J39" s="3">
        <f>+DATOS!J134</f>
        <v>0</v>
      </c>
      <c r="K39" s="3">
        <f>+DATOS!K134</f>
        <v>0</v>
      </c>
      <c r="L39" s="3">
        <f>+DATOS!L134</f>
        <v>0</v>
      </c>
      <c r="M39" s="3">
        <f>+DATOS!M134</f>
        <v>0</v>
      </c>
    </row>
    <row r="40" spans="1:13" x14ac:dyDescent="0.25">
      <c r="A40" s="1">
        <v>2</v>
      </c>
      <c r="B40" s="3">
        <f>+DATOS!B135</f>
        <v>0</v>
      </c>
      <c r="C40" s="3">
        <f>+DATOS!C135</f>
        <v>0</v>
      </c>
      <c r="D40" s="3">
        <f>+DATOS!D135</f>
        <v>0</v>
      </c>
      <c r="E40" s="3">
        <f>+DATOS!E135</f>
        <v>0</v>
      </c>
      <c r="F40" s="3">
        <f>+DATOS!F135</f>
        <v>0</v>
      </c>
      <c r="G40" s="3">
        <f>+DATOS!G135</f>
        <v>0</v>
      </c>
      <c r="H40" s="3">
        <f>+DATOS!H135</f>
        <v>0</v>
      </c>
      <c r="I40" s="3">
        <f>+DATOS!I135</f>
        <v>0</v>
      </c>
      <c r="J40" s="3">
        <f>+DATOS!J135</f>
        <v>0</v>
      </c>
      <c r="K40" s="3">
        <f>+DATOS!K135</f>
        <v>0</v>
      </c>
      <c r="L40" s="3">
        <f>+DATOS!L135</f>
        <v>0</v>
      </c>
      <c r="M40" s="3">
        <f>+DATOS!M135</f>
        <v>0</v>
      </c>
    </row>
    <row r="41" spans="1:13" x14ac:dyDescent="0.25">
      <c r="A41" s="1">
        <v>3</v>
      </c>
      <c r="B41" s="3">
        <f>+DATOS!B136</f>
        <v>0</v>
      </c>
      <c r="C41" s="3">
        <f>+DATOS!C136</f>
        <v>0</v>
      </c>
      <c r="D41" s="3">
        <f>+DATOS!D136</f>
        <v>0</v>
      </c>
      <c r="E41" s="3">
        <f>+DATOS!E136</f>
        <v>0</v>
      </c>
      <c r="F41" s="3">
        <f>+DATOS!F136</f>
        <v>0</v>
      </c>
      <c r="G41" s="3">
        <f>+DATOS!G136</f>
        <v>0</v>
      </c>
      <c r="H41" s="3">
        <f>+DATOS!H136</f>
        <v>0</v>
      </c>
      <c r="I41" s="3">
        <f>+DATOS!I136</f>
        <v>0</v>
      </c>
      <c r="J41" s="3">
        <f>+DATOS!J136</f>
        <v>0</v>
      </c>
      <c r="K41" s="3">
        <f>+DATOS!K136</f>
        <v>0</v>
      </c>
      <c r="L41" s="3">
        <f>+DATOS!L136</f>
        <v>0</v>
      </c>
      <c r="M41" s="3">
        <f>+DATOS!M136</f>
        <v>0</v>
      </c>
    </row>
    <row r="42" spans="1:13" x14ac:dyDescent="0.25">
      <c r="A42" s="1">
        <v>4</v>
      </c>
      <c r="B42" s="3">
        <f>+DATOS!B137</f>
        <v>0</v>
      </c>
      <c r="C42" s="3">
        <f>+DATOS!C137</f>
        <v>0</v>
      </c>
      <c r="D42" s="3">
        <f>+DATOS!D137</f>
        <v>0</v>
      </c>
      <c r="E42" s="3">
        <f>+DATOS!E137</f>
        <v>6.8682352941176472E-2</v>
      </c>
      <c r="F42" s="3">
        <f>+DATOS!F137</f>
        <v>1.0549297912713473</v>
      </c>
      <c r="G42" s="3">
        <f>+DATOS!G137</f>
        <v>3.7658823529411758E-2</v>
      </c>
      <c r="H42" s="3">
        <f>+DATOS!H137</f>
        <v>0</v>
      </c>
      <c r="I42" s="3">
        <f>+DATOS!I137</f>
        <v>0</v>
      </c>
      <c r="J42" s="3">
        <f>+DATOS!J137</f>
        <v>2.6819647058823528</v>
      </c>
      <c r="K42" s="3">
        <f>+DATOS!K137</f>
        <v>14.826227703984818</v>
      </c>
      <c r="L42" s="3">
        <f>+DATOS!L137</f>
        <v>13.861694117647062</v>
      </c>
      <c r="M42" s="3">
        <f>+DATOS!M137</f>
        <v>1.7929297912713473</v>
      </c>
    </row>
    <row r="43" spans="1:13" x14ac:dyDescent="0.25">
      <c r="A43" s="1">
        <v>5</v>
      </c>
      <c r="B43" s="3">
        <f>+DATOS!B138</f>
        <v>162.33229981024672</v>
      </c>
      <c r="C43" s="3">
        <f>+DATOS!C138</f>
        <v>140.99615546218484</v>
      </c>
      <c r="D43" s="3">
        <f>+DATOS!D138</f>
        <v>143.83663377609108</v>
      </c>
      <c r="E43" s="3">
        <f>+DATOS!E138</f>
        <v>168.84130588235297</v>
      </c>
      <c r="F43" s="3">
        <f>+DATOS!F138</f>
        <v>177.16426565464894</v>
      </c>
      <c r="G43" s="3">
        <f>+DATOS!G138</f>
        <v>140.92948235294116</v>
      </c>
      <c r="H43" s="3">
        <f>+DATOS!H138</f>
        <v>107.14727134724858</v>
      </c>
      <c r="I43" s="3">
        <f>+DATOS!I138</f>
        <v>124.6242808349146</v>
      </c>
      <c r="J43" s="3">
        <f>+DATOS!J138</f>
        <v>195.24652941176473</v>
      </c>
      <c r="K43" s="3">
        <f>+DATOS!K138</f>
        <v>252.0155407969639</v>
      </c>
      <c r="L43" s="3">
        <f>+DATOS!L138</f>
        <v>250.40124705882351</v>
      </c>
      <c r="M43" s="3">
        <f>+DATOS!M138</f>
        <v>217.14513472485768</v>
      </c>
    </row>
    <row r="44" spans="1:13" x14ac:dyDescent="0.25">
      <c r="A44" s="1">
        <v>6</v>
      </c>
      <c r="B44" s="3">
        <f>+DATOS!B139</f>
        <v>498.96399620493355</v>
      </c>
      <c r="C44" s="3">
        <f>+DATOS!C139</f>
        <v>459.36911344537822</v>
      </c>
      <c r="D44" s="3">
        <f>+DATOS!D139</f>
        <v>439.99589373814035</v>
      </c>
      <c r="E44" s="3">
        <f>+DATOS!E139</f>
        <v>453.05241176470582</v>
      </c>
      <c r="F44" s="3">
        <f>+DATOS!F139</f>
        <v>465.1134762808349</v>
      </c>
      <c r="G44" s="3">
        <f>+DATOS!G139</f>
        <v>381.18917647058845</v>
      </c>
      <c r="H44" s="3">
        <f>+DATOS!H139</f>
        <v>337.17927893738141</v>
      </c>
      <c r="I44" s="3">
        <f>+DATOS!I139</f>
        <v>361.54355977229591</v>
      </c>
      <c r="J44" s="3">
        <f>+DATOS!J139</f>
        <v>476.27025882352939</v>
      </c>
      <c r="K44" s="3">
        <f>+DATOS!K139</f>
        <v>553.53319924098685</v>
      </c>
      <c r="L44" s="3">
        <f>+DATOS!L139</f>
        <v>552.6257999999998</v>
      </c>
      <c r="M44" s="3">
        <f>+DATOS!M139</f>
        <v>510.75368880455403</v>
      </c>
    </row>
    <row r="45" spans="1:13" x14ac:dyDescent="0.25">
      <c r="A45" s="1">
        <v>7</v>
      </c>
      <c r="B45" s="3">
        <f>+DATOS!B140</f>
        <v>784.72034914611027</v>
      </c>
      <c r="C45" s="3">
        <f>+DATOS!C140</f>
        <v>755.80165966386551</v>
      </c>
      <c r="D45" s="3">
        <f>+DATOS!D140</f>
        <v>726.47241745730537</v>
      </c>
      <c r="E45" s="3">
        <f>+DATOS!E140</f>
        <v>737.88335294117667</v>
      </c>
      <c r="F45" s="3">
        <f>+DATOS!F140</f>
        <v>732.61496015180251</v>
      </c>
      <c r="G45" s="3">
        <f>+DATOS!G140</f>
        <v>622.00041176470597</v>
      </c>
      <c r="H45" s="3">
        <f>+DATOS!H140</f>
        <v>579.36784440227711</v>
      </c>
      <c r="I45" s="3">
        <f>+DATOS!I140</f>
        <v>620.64754838709678</v>
      </c>
      <c r="J45" s="3">
        <f>+DATOS!J140</f>
        <v>769.44522352941181</v>
      </c>
      <c r="K45" s="3">
        <f>+DATOS!K140</f>
        <v>817.96549525616695</v>
      </c>
      <c r="L45" s="3">
        <f>+DATOS!L140</f>
        <v>789.03229411764687</v>
      </c>
      <c r="M45" s="3">
        <f>+DATOS!M140</f>
        <v>773.89186337760907</v>
      </c>
    </row>
    <row r="46" spans="1:13" x14ac:dyDescent="0.25">
      <c r="A46" s="1">
        <v>8</v>
      </c>
      <c r="B46" s="3">
        <f>+DATOS!B141</f>
        <v>1032.1954838709676</v>
      </c>
      <c r="C46" s="3">
        <f>+DATOS!C141</f>
        <v>1009.6338781512605</v>
      </c>
      <c r="D46" s="3">
        <f>+DATOS!D141</f>
        <v>952.31530929791256</v>
      </c>
      <c r="E46" s="3">
        <f>+DATOS!E141</f>
        <v>940.62907058823521</v>
      </c>
      <c r="F46" s="3">
        <f>+DATOS!F141</f>
        <v>959.56261480075887</v>
      </c>
      <c r="G46" s="3">
        <f>+DATOS!G141</f>
        <v>842.48530588235303</v>
      </c>
      <c r="H46" s="3">
        <f>+DATOS!H141</f>
        <v>788.092770398482</v>
      </c>
      <c r="I46" s="3">
        <f>+DATOS!I141</f>
        <v>838.60818216318785</v>
      </c>
      <c r="J46" s="3">
        <f>+DATOS!J141</f>
        <v>988.10961176470619</v>
      </c>
      <c r="K46" s="3">
        <f>+DATOS!K141</f>
        <v>997.63124857685023</v>
      </c>
      <c r="L46" s="3">
        <f>+DATOS!L141</f>
        <v>978.91930588235277</v>
      </c>
      <c r="M46" s="3">
        <f>+DATOS!M141</f>
        <v>977.3146451612904</v>
      </c>
    </row>
    <row r="47" spans="1:13" x14ac:dyDescent="0.25">
      <c r="A47" s="1">
        <v>9</v>
      </c>
      <c r="B47" s="3">
        <f>+DATOS!B142</f>
        <v>1154.6333282732446</v>
      </c>
      <c r="C47" s="3">
        <f>+DATOS!C142</f>
        <v>1164.1267815126052</v>
      </c>
      <c r="D47" s="3">
        <f>+DATOS!D142</f>
        <v>1103.2698671726757</v>
      </c>
      <c r="E47" s="3">
        <f>+DATOS!E142</f>
        <v>1070.7997411764707</v>
      </c>
      <c r="F47" s="3">
        <f>+DATOS!F142</f>
        <v>1068.0514155597723</v>
      </c>
      <c r="G47" s="3">
        <f>+DATOS!G142</f>
        <v>967.09259999999995</v>
      </c>
      <c r="H47" s="3">
        <f>+DATOS!H142</f>
        <v>925.68432637571163</v>
      </c>
      <c r="I47" s="3">
        <f>+DATOS!I142</f>
        <v>966.56581024667923</v>
      </c>
      <c r="J47" s="3">
        <f>+DATOS!J142</f>
        <v>1084.952435294118</v>
      </c>
      <c r="K47" s="3">
        <f>+DATOS!K142</f>
        <v>1108.6557609108158</v>
      </c>
      <c r="L47" s="3">
        <f>+DATOS!L142</f>
        <v>1100.2609058823532</v>
      </c>
      <c r="M47" s="3">
        <f>+DATOS!M142</f>
        <v>1083.6792409867173</v>
      </c>
    </row>
    <row r="48" spans="1:13" x14ac:dyDescent="0.25">
      <c r="A48" s="1">
        <v>10</v>
      </c>
      <c r="B48" s="3">
        <f>+DATOS!B143</f>
        <v>1212.6399165085386</v>
      </c>
      <c r="C48" s="3">
        <f>+DATOS!C143</f>
        <v>1201.7147142857143</v>
      </c>
      <c r="D48" s="3">
        <f>+DATOS!D143</f>
        <v>1158.5664819734347</v>
      </c>
      <c r="E48" s="3">
        <f>+DATOS!E143</f>
        <v>1091.2504235294118</v>
      </c>
      <c r="F48" s="3">
        <f>+DATOS!F143</f>
        <v>1067.7510512333968</v>
      </c>
      <c r="G48" s="3">
        <f>+DATOS!G143</f>
        <v>1002.5591647058822</v>
      </c>
      <c r="H48" s="3">
        <f>+DATOS!H143</f>
        <v>967.3823339658444</v>
      </c>
      <c r="I48" s="3">
        <f>+DATOS!I143</f>
        <v>998.18439848197352</v>
      </c>
      <c r="J48" s="3">
        <f>+DATOS!J143</f>
        <v>1089.5943176470589</v>
      </c>
      <c r="K48" s="3">
        <f>+DATOS!K143</f>
        <v>1090.6027514231498</v>
      </c>
      <c r="L48" s="3">
        <f>+DATOS!L143</f>
        <v>1092.0571764705883</v>
      </c>
      <c r="M48" s="3">
        <f>+DATOS!M143</f>
        <v>1102.0404705882352</v>
      </c>
    </row>
    <row r="49" spans="1:13" x14ac:dyDescent="0.25">
      <c r="A49" s="1">
        <v>11</v>
      </c>
      <c r="B49" s="3">
        <f>+DATOS!B144</f>
        <v>1144.6855787476284</v>
      </c>
      <c r="C49" s="3">
        <f>+DATOS!C144</f>
        <v>1142.476411764706</v>
      </c>
      <c r="D49" s="3">
        <f>+DATOS!D144</f>
        <v>1130.0144516129033</v>
      </c>
      <c r="E49" s="3">
        <f>+DATOS!E144</f>
        <v>1058.2919647058823</v>
      </c>
      <c r="F49" s="3">
        <f>+DATOS!F144</f>
        <v>1015.4347855787476</v>
      </c>
      <c r="G49" s="3">
        <f>+DATOS!G144</f>
        <v>942.75190588235284</v>
      </c>
      <c r="H49" s="3">
        <f>+DATOS!H144</f>
        <v>959.08190891840616</v>
      </c>
      <c r="I49" s="3">
        <f>+DATOS!I144</f>
        <v>965.89748766603395</v>
      </c>
      <c r="J49" s="3">
        <f>+DATOS!J144</f>
        <v>994.55971764705873</v>
      </c>
      <c r="K49" s="3">
        <f>+DATOS!K144</f>
        <v>1007.8176774193547</v>
      </c>
      <c r="L49" s="3">
        <f>+DATOS!L144</f>
        <v>1012.5128470588236</v>
      </c>
      <c r="M49" s="3">
        <f>+DATOS!M144</f>
        <v>1076.1789108159394</v>
      </c>
    </row>
    <row r="50" spans="1:13" x14ac:dyDescent="0.25">
      <c r="A50" s="1">
        <v>12</v>
      </c>
      <c r="B50" s="3">
        <f>+DATOS!B145</f>
        <v>985.25964705882359</v>
      </c>
      <c r="C50" s="3">
        <f>+DATOS!C145</f>
        <v>962.32840336134473</v>
      </c>
      <c r="D50" s="3">
        <f>+DATOS!D145</f>
        <v>925.05917647058823</v>
      </c>
      <c r="E50" s="3">
        <f>+DATOS!E145</f>
        <v>907.41243529411759</v>
      </c>
      <c r="F50" s="3">
        <f>+DATOS!F145</f>
        <v>859.83578368121425</v>
      </c>
      <c r="G50" s="3">
        <f>+DATOS!G145</f>
        <v>828.57557647058832</v>
      </c>
      <c r="H50" s="3">
        <f>+DATOS!H145</f>
        <v>863.19040986717278</v>
      </c>
      <c r="I50" s="3">
        <f>+DATOS!I145</f>
        <v>861.00636432637555</v>
      </c>
      <c r="J50" s="3">
        <f>+DATOS!J145</f>
        <v>810.73641176470585</v>
      </c>
      <c r="K50" s="3">
        <f>+DATOS!K145</f>
        <v>776.34044402277061</v>
      </c>
      <c r="L50" s="3">
        <f>+DATOS!L145</f>
        <v>813.53795294117663</v>
      </c>
      <c r="M50" s="3">
        <f>+DATOS!M145</f>
        <v>893.9968804554079</v>
      </c>
    </row>
    <row r="51" spans="1:13" x14ac:dyDescent="0.25">
      <c r="A51" s="1">
        <v>13</v>
      </c>
      <c r="B51" s="3">
        <f>+DATOS!B146</f>
        <v>747.64670208728637</v>
      </c>
      <c r="C51" s="3">
        <f>+DATOS!C146</f>
        <v>765.91523949579823</v>
      </c>
      <c r="D51" s="3">
        <f>+DATOS!D146</f>
        <v>715.54850094876656</v>
      </c>
      <c r="E51" s="3">
        <f>+DATOS!E146</f>
        <v>706.68769411764708</v>
      </c>
      <c r="F51" s="3">
        <f>+DATOS!F146</f>
        <v>634.76723339658452</v>
      </c>
      <c r="G51" s="3">
        <f>+DATOS!G146</f>
        <v>633.04831764705875</v>
      </c>
      <c r="H51" s="3">
        <f>+DATOS!H146</f>
        <v>676.67075521821641</v>
      </c>
      <c r="I51" s="3">
        <f>+DATOS!I146</f>
        <v>662.79678557874797</v>
      </c>
      <c r="J51" s="3">
        <f>+DATOS!J146</f>
        <v>593.48336470588231</v>
      </c>
      <c r="K51" s="3">
        <f>+DATOS!K146</f>
        <v>593.94712713472484</v>
      </c>
      <c r="L51" s="3">
        <f>+DATOS!L146</f>
        <v>590.971094117647</v>
      </c>
      <c r="M51" s="3">
        <f>+DATOS!M146</f>
        <v>681.64299051233411</v>
      </c>
    </row>
    <row r="52" spans="1:13" x14ac:dyDescent="0.25">
      <c r="A52" s="1">
        <v>14</v>
      </c>
      <c r="B52" s="3">
        <f>+DATOS!B147</f>
        <v>496.06691840607198</v>
      </c>
      <c r="C52" s="3">
        <f>+DATOS!C147</f>
        <v>522.9097184873948</v>
      </c>
      <c r="D52" s="3">
        <f>+DATOS!D147</f>
        <v>473.95120303605319</v>
      </c>
      <c r="E52" s="3">
        <f>+DATOS!E147</f>
        <v>419.91384705882336</v>
      </c>
      <c r="F52" s="3">
        <f>+DATOS!F147</f>
        <v>372.81722960151808</v>
      </c>
      <c r="G52" s="3">
        <f>+DATOS!G147</f>
        <v>386.94487058823518</v>
      </c>
      <c r="H52" s="3">
        <f>+DATOS!H147</f>
        <v>423.98836053130941</v>
      </c>
      <c r="I52" s="3">
        <f>+DATOS!I147</f>
        <v>402.51951802656544</v>
      </c>
      <c r="J52" s="3">
        <f>+DATOS!J147</f>
        <v>352.54221176470583</v>
      </c>
      <c r="K52" s="3">
        <f>+DATOS!K147</f>
        <v>333.48429222011384</v>
      </c>
      <c r="L52" s="3">
        <f>+DATOS!L147</f>
        <v>342.78285882352947</v>
      </c>
      <c r="M52" s="3">
        <f>+DATOS!M147</f>
        <v>411.92292979127126</v>
      </c>
    </row>
    <row r="53" spans="1:13" x14ac:dyDescent="0.25">
      <c r="A53" s="1">
        <v>15</v>
      </c>
      <c r="B53" s="3">
        <f>+DATOS!B148</f>
        <v>210.47000379506636</v>
      </c>
      <c r="C53" s="3">
        <f>+DATOS!C148</f>
        <v>224.58902521008397</v>
      </c>
      <c r="D53" s="3">
        <f>+DATOS!D148</f>
        <v>191.5273776091081</v>
      </c>
      <c r="E53" s="3">
        <f>+DATOS!E148</f>
        <v>141.33077647058823</v>
      </c>
      <c r="F53" s="3">
        <f>+DATOS!F148</f>
        <v>113.11736242884251</v>
      </c>
      <c r="G53" s="3">
        <f>+DATOS!G148</f>
        <v>123.09487058823528</v>
      </c>
      <c r="H53" s="3">
        <f>+DATOS!H148</f>
        <v>152.23481214421253</v>
      </c>
      <c r="I53" s="3">
        <f>+DATOS!I148</f>
        <v>141.57447438330172</v>
      </c>
      <c r="J53" s="3">
        <f>+DATOS!J148</f>
        <v>116.27572941176469</v>
      </c>
      <c r="K53" s="3">
        <f>+DATOS!K148</f>
        <v>86.911821631878567</v>
      </c>
      <c r="L53" s="3">
        <f>+DATOS!L148</f>
        <v>94.635070588235308</v>
      </c>
      <c r="M53" s="3">
        <f>+DATOS!M148</f>
        <v>145.07211005692602</v>
      </c>
    </row>
    <row r="54" spans="1:13" x14ac:dyDescent="0.25">
      <c r="A54" s="1">
        <v>16</v>
      </c>
      <c r="B54" s="3">
        <f>+DATOS!B149</f>
        <v>5.0550284629981027E-2</v>
      </c>
      <c r="C54" s="3">
        <f>+DATOS!C149</f>
        <v>2.0397100840336138</v>
      </c>
      <c r="D54" s="3">
        <f>+DATOS!D149</f>
        <v>0.20209867172675516</v>
      </c>
      <c r="E54" s="3">
        <f>+DATOS!E149</f>
        <v>0</v>
      </c>
      <c r="F54" s="3">
        <f>+DATOS!F149</f>
        <v>0</v>
      </c>
      <c r="G54" s="3">
        <f>+DATOS!G149</f>
        <v>0</v>
      </c>
      <c r="H54" s="3">
        <f>+DATOS!H149</f>
        <v>0</v>
      </c>
      <c r="I54" s="3">
        <f>+DATOS!I149</f>
        <v>0</v>
      </c>
      <c r="J54" s="3">
        <f>+DATOS!J149</f>
        <v>0</v>
      </c>
      <c r="K54" s="3">
        <f>+DATOS!K149</f>
        <v>0</v>
      </c>
      <c r="L54" s="3">
        <f>+DATOS!L149</f>
        <v>0</v>
      </c>
      <c r="M54" s="3">
        <f>+DATOS!M149</f>
        <v>0</v>
      </c>
    </row>
    <row r="55" spans="1:13" x14ac:dyDescent="0.25">
      <c r="A55" s="1">
        <v>17</v>
      </c>
      <c r="B55" s="3">
        <f>+DATOS!B150</f>
        <v>0</v>
      </c>
      <c r="C55" s="3">
        <f>+DATOS!C150</f>
        <v>0</v>
      </c>
      <c r="D55" s="3">
        <f>+DATOS!D150</f>
        <v>0</v>
      </c>
      <c r="E55" s="3">
        <f>+DATOS!E150</f>
        <v>0</v>
      </c>
      <c r="F55" s="3">
        <f>+DATOS!F150</f>
        <v>0</v>
      </c>
      <c r="G55" s="3">
        <f>+DATOS!G150</f>
        <v>0</v>
      </c>
      <c r="H55" s="3">
        <f>+DATOS!H150</f>
        <v>0</v>
      </c>
      <c r="I55" s="3">
        <f>+DATOS!I150</f>
        <v>0</v>
      </c>
      <c r="J55" s="3">
        <f>+DATOS!J150</f>
        <v>0</v>
      </c>
      <c r="K55" s="3">
        <f>+DATOS!K150</f>
        <v>0</v>
      </c>
      <c r="L55" s="3">
        <f>+DATOS!L150</f>
        <v>0</v>
      </c>
      <c r="M55" s="3">
        <f>+DATOS!M150</f>
        <v>0</v>
      </c>
    </row>
    <row r="56" spans="1:13" x14ac:dyDescent="0.25">
      <c r="A56" s="1">
        <v>18</v>
      </c>
      <c r="B56" s="3">
        <f>+DATOS!B151</f>
        <v>0</v>
      </c>
      <c r="C56" s="3">
        <f>+DATOS!C151</f>
        <v>0</v>
      </c>
      <c r="D56" s="3">
        <f>+DATOS!D151</f>
        <v>0</v>
      </c>
      <c r="E56" s="3">
        <f>+DATOS!E151</f>
        <v>0</v>
      </c>
      <c r="F56" s="3">
        <f>+DATOS!F151</f>
        <v>0</v>
      </c>
      <c r="G56" s="3">
        <f>+DATOS!G151</f>
        <v>0</v>
      </c>
      <c r="H56" s="3">
        <f>+DATOS!H151</f>
        <v>0</v>
      </c>
      <c r="I56" s="3">
        <f>+DATOS!I151</f>
        <v>0</v>
      </c>
      <c r="J56" s="3">
        <f>+DATOS!J151</f>
        <v>0</v>
      </c>
      <c r="K56" s="3">
        <f>+DATOS!K151</f>
        <v>0</v>
      </c>
      <c r="L56" s="3">
        <f>+DATOS!L151</f>
        <v>0</v>
      </c>
      <c r="M56" s="3">
        <f>+DATOS!M151</f>
        <v>0</v>
      </c>
    </row>
    <row r="57" spans="1:13" x14ac:dyDescent="0.25">
      <c r="A57" s="1">
        <v>19</v>
      </c>
      <c r="B57" s="3">
        <f>+DATOS!B152</f>
        <v>0</v>
      </c>
      <c r="C57" s="3">
        <f>+DATOS!C152</f>
        <v>0</v>
      </c>
      <c r="D57" s="3">
        <f>+DATOS!D152</f>
        <v>0</v>
      </c>
      <c r="E57" s="3">
        <f>+DATOS!E152</f>
        <v>0</v>
      </c>
      <c r="F57" s="3">
        <f>+DATOS!F152</f>
        <v>0</v>
      </c>
      <c r="G57" s="3">
        <f>+DATOS!G152</f>
        <v>0</v>
      </c>
      <c r="H57" s="3">
        <f>+DATOS!H152</f>
        <v>0</v>
      </c>
      <c r="I57" s="3">
        <f>+DATOS!I152</f>
        <v>0</v>
      </c>
      <c r="J57" s="3">
        <f>+DATOS!J152</f>
        <v>0</v>
      </c>
      <c r="K57" s="3">
        <f>+DATOS!K152</f>
        <v>0</v>
      </c>
      <c r="L57" s="3">
        <f>+DATOS!L152</f>
        <v>0</v>
      </c>
      <c r="M57" s="3">
        <f>+DATOS!M152</f>
        <v>0</v>
      </c>
    </row>
    <row r="58" spans="1:13" x14ac:dyDescent="0.25">
      <c r="A58" s="1">
        <v>20</v>
      </c>
      <c r="B58" s="3">
        <f>+DATOS!B153</f>
        <v>0</v>
      </c>
      <c r="C58" s="3">
        <f>+DATOS!C153</f>
        <v>0</v>
      </c>
      <c r="D58" s="3">
        <f>+DATOS!D153</f>
        <v>0</v>
      </c>
      <c r="E58" s="3">
        <f>+DATOS!E153</f>
        <v>0</v>
      </c>
      <c r="F58" s="3">
        <f>+DATOS!F153</f>
        <v>0</v>
      </c>
      <c r="G58" s="3">
        <f>+DATOS!G153</f>
        <v>0</v>
      </c>
      <c r="H58" s="3">
        <f>+DATOS!H153</f>
        <v>0</v>
      </c>
      <c r="I58" s="3">
        <f>+DATOS!I153</f>
        <v>0</v>
      </c>
      <c r="J58" s="3">
        <f>+DATOS!J153</f>
        <v>0</v>
      </c>
      <c r="K58" s="3">
        <f>+DATOS!K153</f>
        <v>0</v>
      </c>
      <c r="L58" s="3">
        <f>+DATOS!L153</f>
        <v>0</v>
      </c>
      <c r="M58" s="3">
        <f>+DATOS!M153</f>
        <v>0</v>
      </c>
    </row>
    <row r="59" spans="1:13" x14ac:dyDescent="0.25">
      <c r="A59" s="1">
        <v>21</v>
      </c>
      <c r="B59" s="3">
        <f>+DATOS!B154</f>
        <v>0</v>
      </c>
      <c r="C59" s="3">
        <f>+DATOS!C154</f>
        <v>0</v>
      </c>
      <c r="D59" s="3">
        <f>+DATOS!D154</f>
        <v>0</v>
      </c>
      <c r="E59" s="3">
        <f>+DATOS!E154</f>
        <v>0</v>
      </c>
      <c r="F59" s="3">
        <f>+DATOS!F154</f>
        <v>0</v>
      </c>
      <c r="G59" s="3">
        <f>+DATOS!G154</f>
        <v>0</v>
      </c>
      <c r="H59" s="3">
        <f>+DATOS!H154</f>
        <v>0</v>
      </c>
      <c r="I59" s="3">
        <f>+DATOS!I154</f>
        <v>0</v>
      </c>
      <c r="J59" s="3">
        <f>+DATOS!J154</f>
        <v>0</v>
      </c>
      <c r="K59" s="3">
        <f>+DATOS!K154</f>
        <v>0</v>
      </c>
      <c r="L59" s="3">
        <f>+DATOS!L154</f>
        <v>0</v>
      </c>
      <c r="M59" s="3">
        <f>+DATOS!M154</f>
        <v>0</v>
      </c>
    </row>
    <row r="60" spans="1:13" x14ac:dyDescent="0.25">
      <c r="A60" s="1">
        <v>22</v>
      </c>
      <c r="B60" s="3">
        <f>+DATOS!B155</f>
        <v>0</v>
      </c>
      <c r="C60" s="3">
        <f>+DATOS!C155</f>
        <v>0</v>
      </c>
      <c r="D60" s="3">
        <f>+DATOS!D155</f>
        <v>0</v>
      </c>
      <c r="E60" s="3">
        <f>+DATOS!E155</f>
        <v>0</v>
      </c>
      <c r="F60" s="3">
        <f>+DATOS!F155</f>
        <v>0</v>
      </c>
      <c r="G60" s="3">
        <f>+DATOS!G155</f>
        <v>0</v>
      </c>
      <c r="H60" s="3">
        <f>+DATOS!H155</f>
        <v>0</v>
      </c>
      <c r="I60" s="3">
        <f>+DATOS!I155</f>
        <v>0</v>
      </c>
      <c r="J60" s="3">
        <f>+DATOS!J155</f>
        <v>0</v>
      </c>
      <c r="K60" s="3">
        <f>+DATOS!K155</f>
        <v>0</v>
      </c>
      <c r="L60" s="3">
        <f>+DATOS!L155</f>
        <v>0</v>
      </c>
      <c r="M60" s="3">
        <f>+DATOS!M155</f>
        <v>0</v>
      </c>
    </row>
    <row r="61" spans="1:13" x14ac:dyDescent="0.25">
      <c r="A61" s="1">
        <v>23</v>
      </c>
      <c r="B61" s="3">
        <f>+DATOS!B156</f>
        <v>0</v>
      </c>
      <c r="C61" s="3">
        <f>+DATOS!C156</f>
        <v>0</v>
      </c>
      <c r="D61" s="3">
        <f>+DATOS!D156</f>
        <v>0</v>
      </c>
      <c r="E61" s="3">
        <f>+DATOS!E156</f>
        <v>0</v>
      </c>
      <c r="F61" s="3">
        <f>+DATOS!F156</f>
        <v>0</v>
      </c>
      <c r="G61" s="3">
        <f>+DATOS!G156</f>
        <v>0</v>
      </c>
      <c r="H61" s="3">
        <f>+DATOS!H156</f>
        <v>0</v>
      </c>
      <c r="I61" s="3">
        <f>+DATOS!I156</f>
        <v>0</v>
      </c>
      <c r="J61" s="3">
        <f>+DATOS!J156</f>
        <v>0</v>
      </c>
      <c r="K61" s="3">
        <f>+DATOS!K156</f>
        <v>0</v>
      </c>
      <c r="L61" s="3">
        <f>+DATOS!L156</f>
        <v>0</v>
      </c>
      <c r="M61" s="3">
        <f>+DATOS!M156</f>
        <v>0</v>
      </c>
    </row>
    <row r="62" spans="1:13" x14ac:dyDescent="0.25">
      <c r="A62" s="23" t="s">
        <v>82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5" spans="1:6" x14ac:dyDescent="0.25">
      <c r="A65" s="19" t="s">
        <v>2</v>
      </c>
      <c r="B65" s="19"/>
      <c r="C65" s="19"/>
      <c r="D65" s="19"/>
      <c r="E65" s="19" t="s">
        <v>3</v>
      </c>
      <c r="F65" s="19"/>
    </row>
    <row r="66" spans="1:6" x14ac:dyDescent="0.25">
      <c r="A66" s="21" t="s">
        <v>83</v>
      </c>
      <c r="B66" s="21"/>
      <c r="C66" s="21"/>
      <c r="D66" s="21"/>
      <c r="E66" s="18">
        <f>+DATOS!B5</f>
        <v>2769840.9307058803</v>
      </c>
      <c r="F66" s="18"/>
    </row>
    <row r="67" spans="1:6" x14ac:dyDescent="0.25">
      <c r="A67" s="21" t="s">
        <v>84</v>
      </c>
      <c r="B67" s="21"/>
      <c r="C67" s="21"/>
      <c r="D67" s="21"/>
      <c r="E67" s="18">
        <f>+DATOS!B6</f>
        <v>2769.8409307058801</v>
      </c>
      <c r="F67" s="18"/>
    </row>
    <row r="68" spans="1:6" x14ac:dyDescent="0.25">
      <c r="A68" s="21" t="s">
        <v>85</v>
      </c>
      <c r="B68" s="21"/>
      <c r="C68" s="21"/>
      <c r="D68" s="21"/>
      <c r="E68" s="18">
        <f>+DATOS!B7</f>
        <v>316.19188706688129</v>
      </c>
      <c r="F68" s="18"/>
    </row>
    <row r="69" spans="1:6" x14ac:dyDescent="0.25">
      <c r="A69" s="21" t="s">
        <v>86</v>
      </c>
      <c r="B69" s="21"/>
      <c r="C69" s="21"/>
      <c r="D69" s="21"/>
      <c r="E69" s="18">
        <f>+DATOS!B8</f>
        <v>1373.184</v>
      </c>
      <c r="F69" s="18"/>
    </row>
    <row r="70" spans="1:6" x14ac:dyDescent="0.25">
      <c r="A70" s="21" t="s">
        <v>11</v>
      </c>
      <c r="B70" s="21"/>
      <c r="C70" s="21"/>
      <c r="D70" s="21"/>
      <c r="E70" s="18" t="s">
        <v>87</v>
      </c>
      <c r="F70" s="18"/>
    </row>
    <row r="71" spans="1:6" x14ac:dyDescent="0.25">
      <c r="A71" s="21" t="s">
        <v>66</v>
      </c>
      <c r="B71" s="21"/>
      <c r="C71" s="21"/>
      <c r="D71" s="21"/>
      <c r="E71" s="18" t="str">
        <f>+CONCATENATE(DATOS!B10," (",DATOS!B9,")",)</f>
        <v>ENE (01-26 10:00)</v>
      </c>
      <c r="F71" s="18"/>
    </row>
    <row r="73" spans="1:6" x14ac:dyDescent="0.25">
      <c r="A73" s="19" t="s">
        <v>88</v>
      </c>
      <c r="B73" s="19"/>
      <c r="C73" s="19" t="s">
        <v>89</v>
      </c>
      <c r="D73" s="19"/>
      <c r="E73" s="1" t="s">
        <v>23</v>
      </c>
    </row>
    <row r="74" spans="1:6" x14ac:dyDescent="0.25">
      <c r="A74" s="20" t="s">
        <v>14</v>
      </c>
      <c r="B74" s="20"/>
      <c r="C74" s="18">
        <f>+DATOS!B18</f>
        <v>261319.60799999998</v>
      </c>
      <c r="D74" s="18"/>
      <c r="E74" s="8">
        <f>+DATOS!C18</f>
        <v>9.4344626474056684E-2</v>
      </c>
    </row>
    <row r="75" spans="1:6" x14ac:dyDescent="0.25">
      <c r="A75" s="20" t="s">
        <v>24</v>
      </c>
      <c r="B75" s="20"/>
      <c r="C75" s="18">
        <f>+DATOS!B19</f>
        <v>233853.22270588236</v>
      </c>
      <c r="D75" s="18"/>
      <c r="E75" s="8">
        <f>+DATOS!C19</f>
        <v>8.4428394466062665E-2</v>
      </c>
    </row>
    <row r="76" spans="1:6" x14ac:dyDescent="0.25">
      <c r="A76" s="20" t="s">
        <v>25</v>
      </c>
      <c r="B76" s="20"/>
      <c r="C76" s="18">
        <f>+DATOS!B20</f>
        <v>246783.54176470599</v>
      </c>
      <c r="D76" s="18"/>
      <c r="E76" s="8">
        <f>+DATOS!C20</f>
        <v>8.9096647763745138E-2</v>
      </c>
    </row>
    <row r="77" spans="1:6" x14ac:dyDescent="0.25">
      <c r="A77" s="20" t="s">
        <v>26</v>
      </c>
      <c r="B77" s="20"/>
      <c r="C77" s="18">
        <f>+DATOS!B21</f>
        <v>230884.85117647058</v>
      </c>
      <c r="D77" s="18"/>
      <c r="E77" s="8">
        <f>+DATOS!C21</f>
        <v>8.3356718653742529E-2</v>
      </c>
    </row>
    <row r="78" spans="1:6" x14ac:dyDescent="0.25">
      <c r="A78" s="20" t="s">
        <v>27</v>
      </c>
      <c r="B78" s="20"/>
      <c r="C78" s="18">
        <f>+DATOS!B22</f>
        <v>231485.83835294101</v>
      </c>
      <c r="D78" s="18"/>
      <c r="E78" s="8">
        <f>+DATOS!C22</f>
        <v>8.3573693993303735E-2</v>
      </c>
    </row>
    <row r="79" spans="1:6" x14ac:dyDescent="0.25">
      <c r="A79" s="20" t="s">
        <v>28</v>
      </c>
      <c r="B79" s="20"/>
      <c r="C79" s="18">
        <f>+DATOS!B23</f>
        <v>206121.2802352939</v>
      </c>
      <c r="D79" s="18"/>
      <c r="E79" s="8">
        <f>+DATOS!C23</f>
        <v>7.4416287935626962E-2</v>
      </c>
    </row>
    <row r="80" spans="1:6" x14ac:dyDescent="0.25">
      <c r="A80" s="20" t="s">
        <v>29</v>
      </c>
      <c r="B80" s="20"/>
      <c r="C80" s="18">
        <f>+DATOS!B24</f>
        <v>210180.62223529414</v>
      </c>
      <c r="D80" s="18"/>
      <c r="E80" s="8">
        <f>+DATOS!C24</f>
        <v>7.5881838521943745E-2</v>
      </c>
    </row>
    <row r="81" spans="1:8" x14ac:dyDescent="0.25">
      <c r="A81" s="20" t="s">
        <v>30</v>
      </c>
      <c r="B81" s="20"/>
      <c r="C81" s="18">
        <f>+DATOS!B25</f>
        <v>215263.02070588231</v>
      </c>
      <c r="D81" s="18"/>
      <c r="E81" s="8">
        <f>+DATOS!C25</f>
        <v>7.7716744784699046E-2</v>
      </c>
    </row>
    <row r="82" spans="1:8" x14ac:dyDescent="0.25">
      <c r="A82" s="20" t="s">
        <v>31</v>
      </c>
      <c r="B82" s="20"/>
      <c r="C82" s="18">
        <f>+DATOS!B26</f>
        <v>224216.93329411765</v>
      </c>
      <c r="D82" s="18"/>
      <c r="E82" s="8">
        <f>+DATOS!C26</f>
        <v>8.0949389839862371E-2</v>
      </c>
    </row>
    <row r="83" spans="1:8" x14ac:dyDescent="0.25">
      <c r="A83" s="20" t="s">
        <v>32</v>
      </c>
      <c r="B83" s="20"/>
      <c r="C83" s="18">
        <f>+DATOS!B27</f>
        <v>236645.67917647061</v>
      </c>
      <c r="D83" s="18"/>
      <c r="E83" s="8">
        <f>+DATOS!C27</f>
        <v>8.5436559389770614E-2</v>
      </c>
    </row>
    <row r="84" spans="1:8" x14ac:dyDescent="0.25">
      <c r="A84" s="20" t="s">
        <v>33</v>
      </c>
      <c r="B84" s="20"/>
      <c r="C84" s="18">
        <f>+DATOS!B28</f>
        <v>228947.94741176473</v>
      </c>
      <c r="D84" s="18"/>
      <c r="E84" s="8">
        <f>+DATOS!C28</f>
        <v>8.2657435260521744E-2</v>
      </c>
    </row>
    <row r="85" spans="1:8" x14ac:dyDescent="0.25">
      <c r="A85" s="20" t="s">
        <v>34</v>
      </c>
      <c r="B85" s="20"/>
      <c r="C85" s="18">
        <f>+DATOS!B29</f>
        <v>244138.38564705875</v>
      </c>
      <c r="D85" s="18"/>
      <c r="E85" s="8">
        <f>+DATOS!C29</f>
        <v>8.8141662916664726E-2</v>
      </c>
    </row>
    <row r="91" spans="1:8" x14ac:dyDescent="0.25">
      <c r="A91" s="16" t="s">
        <v>90</v>
      </c>
      <c r="B91" s="17"/>
      <c r="C91" s="17"/>
      <c r="D91" s="17"/>
      <c r="E91" s="17"/>
      <c r="F91" s="17"/>
      <c r="G91" s="17"/>
      <c r="H91" s="17"/>
    </row>
    <row r="110" spans="1:8" ht="15" customHeight="1" x14ac:dyDescent="0.25">
      <c r="A110" s="16" t="s">
        <v>91</v>
      </c>
      <c r="B110" s="16"/>
      <c r="C110" s="16"/>
      <c r="D110" s="16"/>
      <c r="E110" s="16"/>
      <c r="F110" s="16"/>
      <c r="G110" s="16"/>
      <c r="H110" s="16"/>
    </row>
    <row r="130" spans="1:8" x14ac:dyDescent="0.25">
      <c r="A130" s="16" t="s">
        <v>92</v>
      </c>
      <c r="B130" s="17"/>
      <c r="C130" s="17"/>
      <c r="D130" s="17"/>
      <c r="E130" s="17"/>
      <c r="F130" s="17"/>
      <c r="G130" s="17"/>
      <c r="H130" s="17"/>
    </row>
    <row r="152" spans="1:13" x14ac:dyDescent="0.25">
      <c r="A152" s="9" t="s">
        <v>47</v>
      </c>
      <c r="B152" s="9" t="s">
        <v>14</v>
      </c>
      <c r="C152" s="9" t="s">
        <v>24</v>
      </c>
      <c r="D152" s="9" t="s">
        <v>25</v>
      </c>
      <c r="E152" s="9" t="s">
        <v>26</v>
      </c>
      <c r="F152" s="9" t="s">
        <v>27</v>
      </c>
      <c r="G152" s="9" t="s">
        <v>28</v>
      </c>
      <c r="H152" s="9" t="s">
        <v>29</v>
      </c>
      <c r="I152" s="9" t="s">
        <v>30</v>
      </c>
      <c r="J152" s="9" t="s">
        <v>31</v>
      </c>
      <c r="K152" s="9" t="s">
        <v>32</v>
      </c>
      <c r="L152" s="9" t="s">
        <v>33</v>
      </c>
      <c r="M152" s="9" t="s">
        <v>34</v>
      </c>
    </row>
    <row r="153" spans="1:13" x14ac:dyDescent="0.25">
      <c r="A153" s="9">
        <v>0</v>
      </c>
      <c r="B153" s="14">
        <f>+DATOS!B106</f>
        <v>-279.14055648364518</v>
      </c>
      <c r="C153" s="14">
        <f>+DATOS!C106</f>
        <v>-277.83083308584281</v>
      </c>
      <c r="D153" s="14">
        <f>+DATOS!D106</f>
        <v>-279.14055648364518</v>
      </c>
      <c r="E153" s="14">
        <f>+DATOS!E106</f>
        <v>-275.57519834518331</v>
      </c>
      <c r="F153" s="14">
        <f>+DATOS!F106</f>
        <v>-279.14055648364518</v>
      </c>
      <c r="G153" s="14">
        <f>+DATOS!G106</f>
        <v>-278.73308698210661</v>
      </c>
      <c r="H153" s="14">
        <f>+DATOS!H106</f>
        <v>-276.08453522210641</v>
      </c>
      <c r="I153" s="14">
        <f>+DATOS!I106</f>
        <v>-279.14055648364518</v>
      </c>
      <c r="J153" s="14">
        <f>+DATOS!J106</f>
        <v>-275.57519834518331</v>
      </c>
      <c r="K153" s="14">
        <f>+DATOS!K106</f>
        <v>-279.14055648364518</v>
      </c>
      <c r="L153" s="14">
        <f>+DATOS!L106</f>
        <v>-278.73308698210661</v>
      </c>
      <c r="M153" s="14">
        <f>+DATOS!M106</f>
        <v>-276.08453522210641</v>
      </c>
    </row>
    <row r="154" spans="1:13" x14ac:dyDescent="0.25">
      <c r="A154" s="9">
        <v>1</v>
      </c>
      <c r="B154" s="14">
        <f>+DATOS!B107</f>
        <v>-279.14055648364518</v>
      </c>
      <c r="C154" s="14">
        <f>+DATOS!C107</f>
        <v>-277.83083308584281</v>
      </c>
      <c r="D154" s="14">
        <f>+DATOS!D107</f>
        <v>-279.14055648364518</v>
      </c>
      <c r="E154" s="14">
        <f>+DATOS!E107</f>
        <v>-275.57519834518331</v>
      </c>
      <c r="F154" s="14">
        <f>+DATOS!F107</f>
        <v>-279.14055648364518</v>
      </c>
      <c r="G154" s="14">
        <f>+DATOS!G107</f>
        <v>-278.73308698210661</v>
      </c>
      <c r="H154" s="14">
        <f>+DATOS!H107</f>
        <v>-276.08453522210641</v>
      </c>
      <c r="I154" s="14">
        <f>+DATOS!I107</f>
        <v>-279.14055648364518</v>
      </c>
      <c r="J154" s="14">
        <f>+DATOS!J107</f>
        <v>-275.57519834518331</v>
      </c>
      <c r="K154" s="14">
        <f>+DATOS!K107</f>
        <v>-279.14055648364518</v>
      </c>
      <c r="L154" s="14">
        <f>+DATOS!L107</f>
        <v>-278.73308698210661</v>
      </c>
      <c r="M154" s="14">
        <f>+DATOS!M107</f>
        <v>-276.08453522210641</v>
      </c>
    </row>
    <row r="155" spans="1:13" x14ac:dyDescent="0.25">
      <c r="A155" s="9">
        <v>2</v>
      </c>
      <c r="B155" s="14">
        <f>+DATOS!B108</f>
        <v>-279.14055648364518</v>
      </c>
      <c r="C155" s="14">
        <f>+DATOS!C108</f>
        <v>-277.83083308584281</v>
      </c>
      <c r="D155" s="14">
        <f>+DATOS!D108</f>
        <v>-279.14055648364518</v>
      </c>
      <c r="E155" s="14">
        <f>+DATOS!E108</f>
        <v>-275.57519834518331</v>
      </c>
      <c r="F155" s="14">
        <f>+DATOS!F108</f>
        <v>-279.14055648364518</v>
      </c>
      <c r="G155" s="14">
        <f>+DATOS!G108</f>
        <v>-278.73308698210661</v>
      </c>
      <c r="H155" s="14">
        <f>+DATOS!H108</f>
        <v>-276.08453522210641</v>
      </c>
      <c r="I155" s="14">
        <f>+DATOS!I108</f>
        <v>-279.14055648364518</v>
      </c>
      <c r="J155" s="14">
        <f>+DATOS!J108</f>
        <v>-275.57519834518331</v>
      </c>
      <c r="K155" s="14">
        <f>+DATOS!K108</f>
        <v>-279.14055648364518</v>
      </c>
      <c r="L155" s="14">
        <f>+DATOS!L108</f>
        <v>-278.73308698210661</v>
      </c>
      <c r="M155" s="14">
        <f>+DATOS!M108</f>
        <v>-276.08453522210641</v>
      </c>
    </row>
    <row r="156" spans="1:13" x14ac:dyDescent="0.25">
      <c r="A156" s="9">
        <v>3</v>
      </c>
      <c r="B156" s="14">
        <f>+DATOS!B109</f>
        <v>-248.50452411878399</v>
      </c>
      <c r="C156" s="14">
        <f>+DATOS!C109</f>
        <v>-247.33854453560011</v>
      </c>
      <c r="D156" s="14">
        <f>+DATOS!D109</f>
        <v>-248.50452411878399</v>
      </c>
      <c r="E156" s="14">
        <f>+DATOS!E109</f>
        <v>-245.33046858678347</v>
      </c>
      <c r="F156" s="14">
        <f>+DATOS!F109</f>
        <v>-248.50452411878399</v>
      </c>
      <c r="G156" s="14">
        <f>+DATOS!G109</f>
        <v>-248.1417749151268</v>
      </c>
      <c r="H156" s="14">
        <f>+DATOS!H109</f>
        <v>-245.783905091355</v>
      </c>
      <c r="I156" s="14">
        <f>+DATOS!I109</f>
        <v>-248.50452411878399</v>
      </c>
      <c r="J156" s="14">
        <f>+DATOS!J109</f>
        <v>-245.33046858678347</v>
      </c>
      <c r="K156" s="14">
        <f>+DATOS!K109</f>
        <v>-248.50452411878399</v>
      </c>
      <c r="L156" s="14">
        <f>+DATOS!L109</f>
        <v>-248.1417749151268</v>
      </c>
      <c r="M156" s="14">
        <f>+DATOS!M109</f>
        <v>-245.783905091355</v>
      </c>
    </row>
    <row r="157" spans="1:13" x14ac:dyDescent="0.25">
      <c r="A157" s="9">
        <v>4</v>
      </c>
      <c r="B157" s="14">
        <f>+DATOS!B110</f>
        <v>-277.92756365238404</v>
      </c>
      <c r="C157" s="14">
        <f>+DATOS!C110</f>
        <v>-276.62353159915727</v>
      </c>
      <c r="D157" s="14">
        <f>+DATOS!D110</f>
        <v>-277.92756365238404</v>
      </c>
      <c r="E157" s="14">
        <f>+DATOS!E110</f>
        <v>-274.30901626565884</v>
      </c>
      <c r="F157" s="14">
        <f>+DATOS!F110</f>
        <v>-276.87263386111249</v>
      </c>
      <c r="G157" s="14">
        <f>+DATOS!G110</f>
        <v>-277.48420596785076</v>
      </c>
      <c r="H157" s="14">
        <f>+DATOS!H110</f>
        <v>-274.88482219485502</v>
      </c>
      <c r="I157" s="14">
        <f>+DATOS!I110</f>
        <v>-277.92756365238404</v>
      </c>
      <c r="J157" s="14">
        <f>+DATOS!J110</f>
        <v>-271.69573391271763</v>
      </c>
      <c r="K157" s="14">
        <f>+DATOS!K110</f>
        <v>-263.10133594839908</v>
      </c>
      <c r="L157" s="14">
        <f>+DATOS!L110</f>
        <v>-263.66017067373298</v>
      </c>
      <c r="M157" s="14">
        <f>+DATOS!M110</f>
        <v>-273.09189240358364</v>
      </c>
    </row>
    <row r="158" spans="1:13" x14ac:dyDescent="0.25">
      <c r="A158" s="9">
        <v>5</v>
      </c>
      <c r="B158" s="14">
        <f>+DATOS!B111</f>
        <v>-78.925294589188809</v>
      </c>
      <c r="C158" s="14">
        <f>+DATOS!C111</f>
        <v>-99.12946184204371</v>
      </c>
      <c r="D158" s="14">
        <f>+DATOS!D111</f>
        <v>-97.420960623344399</v>
      </c>
      <c r="E158" s="14">
        <f>+DATOS!E111</f>
        <v>-69.334795313463701</v>
      </c>
      <c r="F158" s="14">
        <f>+DATOS!F111</f>
        <v>-64.093328744786504</v>
      </c>
      <c r="G158" s="14">
        <f>+DATOS!G111</f>
        <v>-99.975941394652153</v>
      </c>
      <c r="H158" s="14">
        <f>+DATOS!H111</f>
        <v>-131.46904316337077</v>
      </c>
      <c r="I158" s="14">
        <f>+DATOS!I111</f>
        <v>-116.63331356452089</v>
      </c>
      <c r="J158" s="14">
        <f>+DATOS!J111</f>
        <v>-42.929571784051952</v>
      </c>
      <c r="K158" s="14">
        <f>+DATOS!K111</f>
        <v>10.757946397528467</v>
      </c>
      <c r="L158" s="14">
        <f>+DATOS!L111</f>
        <v>9.4958233112302004</v>
      </c>
      <c r="M158" s="14">
        <f>+DATOS!M111</f>
        <v>-21.47117978576167</v>
      </c>
    </row>
    <row r="159" spans="1:13" x14ac:dyDescent="0.25">
      <c r="A159" s="9">
        <v>6</v>
      </c>
      <c r="B159" s="14">
        <f>+DATOS!B112</f>
        <v>287.74210862514968</v>
      </c>
      <c r="C159" s="14">
        <f>+DATOS!C112</f>
        <v>249.13827586483529</v>
      </c>
      <c r="D159" s="14">
        <f>+DATOS!D112</f>
        <v>228.77400615835646</v>
      </c>
      <c r="E159" s="14">
        <f>+DATOS!E112</f>
        <v>244.5283825161892</v>
      </c>
      <c r="F159" s="14">
        <f>+DATOS!F112</f>
        <v>253.89158870105106</v>
      </c>
      <c r="G159" s="14">
        <f>+DATOS!G112</f>
        <v>170.27561555723489</v>
      </c>
      <c r="H159" s="14">
        <f>+DATOS!H112</f>
        <v>128.26984135582654</v>
      </c>
      <c r="I159" s="14">
        <f>+DATOS!I112</f>
        <v>150.3216721925121</v>
      </c>
      <c r="J159" s="14">
        <f>+DATOS!J112</f>
        <v>267.74622957501265</v>
      </c>
      <c r="K159" s="14">
        <f>+DATOS!K112</f>
        <v>342.31131166120286</v>
      </c>
      <c r="L159" s="14">
        <f>+DATOS!L112</f>
        <v>341.71223908664666</v>
      </c>
      <c r="M159" s="14">
        <f>+DATOS!M112</f>
        <v>301.84425122299928</v>
      </c>
    </row>
    <row r="160" spans="1:13" x14ac:dyDescent="0.25">
      <c r="A160" s="9">
        <v>7</v>
      </c>
      <c r="B160" s="14">
        <f>+DATOS!B113</f>
        <v>561.26741296158104</v>
      </c>
      <c r="C160" s="14">
        <f>+DATOS!C113</f>
        <v>533.39716137927985</v>
      </c>
      <c r="D160" s="14">
        <f>+DATOS!D113</f>
        <v>503.01948127277655</v>
      </c>
      <c r="E160" s="14">
        <f>+DATOS!E113</f>
        <v>517.28449770649308</v>
      </c>
      <c r="F160" s="14">
        <f>+DATOS!F113</f>
        <v>509.16202396727351</v>
      </c>
      <c r="G160" s="14">
        <f>+DATOS!G113</f>
        <v>398.87365626015918</v>
      </c>
      <c r="H160" s="14">
        <f>+DATOS!H113</f>
        <v>358.36126331761574</v>
      </c>
      <c r="I160" s="14">
        <f>+DATOS!I113</f>
        <v>397.19461220256773</v>
      </c>
      <c r="J160" s="14">
        <f>+DATOS!J113</f>
        <v>548.84636829472834</v>
      </c>
      <c r="K160" s="14">
        <f>+DATOS!K113</f>
        <v>594.51255907163784</v>
      </c>
      <c r="L160" s="14">
        <f>+DATOS!L113</f>
        <v>565.90553861310025</v>
      </c>
      <c r="M160" s="14">
        <f>+DATOS!M113</f>
        <v>552.88528229294764</v>
      </c>
    </row>
    <row r="161" spans="1:13" x14ac:dyDescent="0.25">
      <c r="A161" s="9">
        <v>8</v>
      </c>
      <c r="B161" s="14">
        <f>+DATOS!B114</f>
        <v>791.13861922052911</v>
      </c>
      <c r="C161" s="14">
        <f>+DATOS!C114</f>
        <v>769.70804877498915</v>
      </c>
      <c r="D161" s="14">
        <f>+DATOS!D114</f>
        <v>711.25844464747411</v>
      </c>
      <c r="E161" s="14">
        <f>+DATOS!E114</f>
        <v>702.65113529525217</v>
      </c>
      <c r="F161" s="14">
        <f>+DATOS!F114</f>
        <v>718.5057501503203</v>
      </c>
      <c r="G161" s="14">
        <f>+DATOS!G114</f>
        <v>601.78031887276632</v>
      </c>
      <c r="H161" s="14">
        <f>+DATOS!H114</f>
        <v>549.6749880544337</v>
      </c>
      <c r="I161" s="14">
        <f>+DATOS!I114</f>
        <v>597.55131751274928</v>
      </c>
      <c r="J161" s="14">
        <f>+DATOS!J114</f>
        <v>750.13167647172281</v>
      </c>
      <c r="K161" s="14">
        <f>+DATOS!K114</f>
        <v>756.57438392641131</v>
      </c>
      <c r="L161" s="14">
        <f>+DATOS!L114</f>
        <v>738.21431887276628</v>
      </c>
      <c r="M161" s="14">
        <f>+DATOS!M114</f>
        <v>738.89686281724187</v>
      </c>
    </row>
    <row r="162" spans="1:13" x14ac:dyDescent="0.25">
      <c r="A162" s="9">
        <v>9</v>
      </c>
      <c r="B162" s="14">
        <f>+DATOS!B115</f>
        <v>860.25920821144166</v>
      </c>
      <c r="C162" s="14">
        <f>+DATOS!C115</f>
        <v>871.13386050553345</v>
      </c>
      <c r="D162" s="14">
        <f>+DATOS!D115</f>
        <v>808.89574711087221</v>
      </c>
      <c r="E162" s="14">
        <f>+DATOS!E115</f>
        <v>780.18555187477068</v>
      </c>
      <c r="F162" s="14">
        <f>+DATOS!F115</f>
        <v>773.67729549796911</v>
      </c>
      <c r="G162" s="14">
        <f>+DATOS!G115</f>
        <v>673.14818631077992</v>
      </c>
      <c r="H162" s="14">
        <f>+DATOS!H115</f>
        <v>634.5330041082824</v>
      </c>
      <c r="I162" s="14">
        <f>+DATOS!I115</f>
        <v>672.19169018487594</v>
      </c>
      <c r="J162" s="14">
        <f>+DATOS!J115</f>
        <v>794.33824599241768</v>
      </c>
      <c r="K162" s="14">
        <f>+DATOS!K115</f>
        <v>814.28164084901289</v>
      </c>
      <c r="L162" s="14">
        <f>+DATOS!L115</f>
        <v>806.31649219313294</v>
      </c>
      <c r="M162" s="14">
        <f>+DATOS!M115</f>
        <v>792.52791871928844</v>
      </c>
    </row>
    <row r="163" spans="1:13" x14ac:dyDescent="0.25">
      <c r="A163" s="9">
        <v>10</v>
      </c>
      <c r="B163" s="14">
        <f>+DATOS!B116</f>
        <v>870.86575010742604</v>
      </c>
      <c r="C163" s="14">
        <f>+DATOS!C116</f>
        <v>861.54414726169978</v>
      </c>
      <c r="D163" s="14">
        <f>+DATOS!D116</f>
        <v>816.79231557232163</v>
      </c>
      <c r="E163" s="14">
        <f>+DATOS!E116</f>
        <v>753.84161098817845</v>
      </c>
      <c r="F163" s="14">
        <f>+DATOS!F116</f>
        <v>725.97688483228387</v>
      </c>
      <c r="G163" s="14">
        <f>+DATOS!G116</f>
        <v>661.28389588875552</v>
      </c>
      <c r="H163" s="14">
        <f>+DATOS!H116</f>
        <v>629.34989944462825</v>
      </c>
      <c r="I163" s="14">
        <f>+DATOS!I116</f>
        <v>656.41023208086062</v>
      </c>
      <c r="J163" s="14">
        <f>+DATOS!J116</f>
        <v>752.18550510582543</v>
      </c>
      <c r="K163" s="14">
        <f>+DATOS!K116</f>
        <v>748.82858502203715</v>
      </c>
      <c r="L163" s="14">
        <f>+DATOS!L116</f>
        <v>750.78190765346164</v>
      </c>
      <c r="M163" s="14">
        <f>+DATOS!M116</f>
        <v>764.00803606701902</v>
      </c>
    </row>
    <row r="164" spans="1:13" x14ac:dyDescent="0.25">
      <c r="A164" s="9">
        <v>11</v>
      </c>
      <c r="B164" s="14">
        <f>+DATOS!B117</f>
        <v>758.99485137771194</v>
      </c>
      <c r="C164" s="14">
        <f>+DATOS!C117</f>
        <v>758.59533963197737</v>
      </c>
      <c r="D164" s="14">
        <f>+DATOS!D117</f>
        <v>744.32372424298705</v>
      </c>
      <c r="E164" s="14">
        <f>+DATOS!E117</f>
        <v>677.52752103719899</v>
      </c>
      <c r="F164" s="14">
        <f>+DATOS!F117</f>
        <v>629.74405820883146</v>
      </c>
      <c r="G164" s="14">
        <f>+DATOS!G117</f>
        <v>557.6241823640064</v>
      </c>
      <c r="H164" s="14">
        <f>+DATOS!H117</f>
        <v>577.61371043526083</v>
      </c>
      <c r="I164" s="14">
        <f>+DATOS!I117</f>
        <v>580.20676029611809</v>
      </c>
      <c r="J164" s="14">
        <f>+DATOS!J117</f>
        <v>613.79527397837558</v>
      </c>
      <c r="K164" s="14">
        <f>+DATOS!K117</f>
        <v>622.12695004943862</v>
      </c>
      <c r="L164" s="14">
        <f>+DATOS!L117</f>
        <v>627.38512354047691</v>
      </c>
      <c r="M164" s="14">
        <f>+DATOS!M117</f>
        <v>694.71071233279406</v>
      </c>
    </row>
    <row r="165" spans="1:13" x14ac:dyDescent="0.25">
      <c r="A165" s="9">
        <v>12</v>
      </c>
      <c r="B165" s="14">
        <f>+DATOS!B118</f>
        <v>678.32016536002982</v>
      </c>
      <c r="C165" s="14">
        <f>+DATOS!C118</f>
        <v>656.82907720983007</v>
      </c>
      <c r="D165" s="14">
        <f>+DATOS!D118</f>
        <v>618.1196947717948</v>
      </c>
      <c r="E165" s="14">
        <f>+DATOS!E118</f>
        <v>604.39337702958426</v>
      </c>
      <c r="F165" s="14">
        <f>+DATOS!F118</f>
        <v>552.89630198242082</v>
      </c>
      <c r="G165" s="14">
        <f>+DATOS!G118</f>
        <v>522.0841431642815</v>
      </c>
      <c r="H165" s="14">
        <f>+DATOS!H118</f>
        <v>559.6112911120307</v>
      </c>
      <c r="I165" s="14">
        <f>+DATOS!I118</f>
        <v>554.06688262758212</v>
      </c>
      <c r="J165" s="14">
        <f>+DATOS!J118</f>
        <v>507.71735350017263</v>
      </c>
      <c r="K165" s="14">
        <f>+DATOS!K118</f>
        <v>469.4009623239769</v>
      </c>
      <c r="L165" s="14">
        <f>+DATOS!L118</f>
        <v>507.04651963486987</v>
      </c>
      <c r="M165" s="14">
        <f>+DATOS!M118</f>
        <v>590.41776170026594</v>
      </c>
    </row>
    <row r="166" spans="1:13" x14ac:dyDescent="0.25">
      <c r="A166" s="9">
        <v>13</v>
      </c>
      <c r="B166" s="14">
        <f>+DATOS!B119</f>
        <v>447.62748122494776</v>
      </c>
      <c r="C166" s="14">
        <f>+DATOS!C119</f>
        <v>467.3037044183697</v>
      </c>
      <c r="D166" s="14">
        <f>+DATOS!D119</f>
        <v>415.52928008642783</v>
      </c>
      <c r="E166" s="14">
        <f>+DATOS!E119</f>
        <v>410.50050678089718</v>
      </c>
      <c r="F166" s="14">
        <f>+DATOS!F119</f>
        <v>334.74801253424579</v>
      </c>
      <c r="G166" s="14">
        <f>+DATOS!G119</f>
        <v>333.4670434733589</v>
      </c>
      <c r="H166" s="14">
        <f>+DATOS!H119</f>
        <v>379.93613452066791</v>
      </c>
      <c r="I166" s="14">
        <f>+DATOS!I119</f>
        <v>362.77756471640896</v>
      </c>
      <c r="J166" s="14">
        <f>+DATOS!J119</f>
        <v>297.29617736913235</v>
      </c>
      <c r="K166" s="14">
        <f>+DATOS!K119</f>
        <v>293.92790627238617</v>
      </c>
      <c r="L166" s="14">
        <f>+DATOS!L119</f>
        <v>291.38981994394715</v>
      </c>
      <c r="M166" s="14">
        <f>+DATOS!M119</f>
        <v>384.90836981478554</v>
      </c>
    </row>
    <row r="167" spans="1:13" x14ac:dyDescent="0.25">
      <c r="A167" s="9">
        <v>14</v>
      </c>
      <c r="B167" s="14">
        <f>+DATOS!B120</f>
        <v>228.48749896369469</v>
      </c>
      <c r="C167" s="14">
        <f>+DATOS!C120</f>
        <v>256.58577775735216</v>
      </c>
      <c r="D167" s="14">
        <f>+DATOS!D120</f>
        <v>206.3717835936757</v>
      </c>
      <c r="E167" s="14">
        <f>+DATOS!E120</f>
        <v>155.75211966669025</v>
      </c>
      <c r="F167" s="14">
        <f>+DATOS!F120</f>
        <v>105.23781015914065</v>
      </c>
      <c r="G167" s="14">
        <f>+DATOS!G120</f>
        <v>119.75604452302865</v>
      </c>
      <c r="H167" s="14">
        <f>+DATOS!H120</f>
        <v>159.33839141771259</v>
      </c>
      <c r="I167" s="14">
        <f>+DATOS!I120</f>
        <v>134.94009858418809</v>
      </c>
      <c r="J167" s="14">
        <f>+DATOS!J120</f>
        <v>88.380484372572553</v>
      </c>
      <c r="K167" s="14">
        <f>+DATOS!K120</f>
        <v>65.904872777736458</v>
      </c>
      <c r="L167" s="14">
        <f>+DATOS!L120</f>
        <v>75.594032758322754</v>
      </c>
      <c r="M167" s="14">
        <f>+DATOS!M120</f>
        <v>147.27296067767458</v>
      </c>
    </row>
    <row r="168" spans="1:13" x14ac:dyDescent="0.25">
      <c r="A168" s="9">
        <v>15</v>
      </c>
      <c r="B168" s="14">
        <f>+DATOS!B121</f>
        <v>-139.437472607682</v>
      </c>
      <c r="C168" s="14">
        <f>+DATOS!C121</f>
        <v>-123.67669044430167</v>
      </c>
      <c r="D168" s="14">
        <f>+DATOS!D121</f>
        <v>-158.38009879364023</v>
      </c>
      <c r="E168" s="14">
        <f>+DATOS!E121</f>
        <v>-204.10746233939511</v>
      </c>
      <c r="F168" s="14">
        <f>+DATOS!F121</f>
        <v>-236.79011397390585</v>
      </c>
      <c r="G168" s="14">
        <f>+DATOS!G121</f>
        <v>-226.30183580391127</v>
      </c>
      <c r="H168" s="14">
        <f>+DATOS!H121</f>
        <v>-193.84188917902298</v>
      </c>
      <c r="I168" s="14">
        <f>+DATOS!I121</f>
        <v>-208.33300201944664</v>
      </c>
      <c r="J168" s="14">
        <f>+DATOS!J121</f>
        <v>-229.16250939821867</v>
      </c>
      <c r="K168" s="14">
        <f>+DATOS!K121</f>
        <v>-262.99565477086986</v>
      </c>
      <c r="L168" s="14">
        <f>+DATOS!L121</f>
        <v>-254.76163580391139</v>
      </c>
      <c r="M168" s="14">
        <f>+DATOS!M121</f>
        <v>-201.00459126630955</v>
      </c>
    </row>
    <row r="169" spans="1:13" x14ac:dyDescent="0.25">
      <c r="A169" s="9">
        <v>16</v>
      </c>
      <c r="B169" s="14">
        <f>+DATOS!B122</f>
        <v>-298.72457536613445</v>
      </c>
      <c r="C169" s="14">
        <f>+DATOS!C122</f>
        <v>-295.33356705830926</v>
      </c>
      <c r="D169" s="14">
        <f>+DATOS!D122</f>
        <v>-298.57302697903771</v>
      </c>
      <c r="E169" s="14">
        <f>+DATOS!E122</f>
        <v>-294.95898248894991</v>
      </c>
      <c r="F169" s="14">
        <f>+DATOS!F122</f>
        <v>-298.77512565076438</v>
      </c>
      <c r="G169" s="14">
        <f>+DATOS!G122</f>
        <v>-298.33899500369989</v>
      </c>
      <c r="H169" s="14">
        <f>+DATOS!H122</f>
        <v>-295.50414579778055</v>
      </c>
      <c r="I169" s="14">
        <f>+DATOS!I122</f>
        <v>-298.77512565076438</v>
      </c>
      <c r="J169" s="14">
        <f>+DATOS!J122</f>
        <v>-294.95898248894991</v>
      </c>
      <c r="K169" s="14">
        <f>+DATOS!K122</f>
        <v>-298.77512565076438</v>
      </c>
      <c r="L169" s="14">
        <f>+DATOS!L122</f>
        <v>-298.33899500369989</v>
      </c>
      <c r="M169" s="14">
        <f>+DATOS!M122</f>
        <v>-295.50414579778055</v>
      </c>
    </row>
    <row r="170" spans="1:13" x14ac:dyDescent="0.25">
      <c r="A170" s="9">
        <v>17</v>
      </c>
      <c r="B170" s="14">
        <f>+DATOS!B123</f>
        <v>-317.60012299056768</v>
      </c>
      <c r="C170" s="14">
        <f>+DATOS!C123</f>
        <v>-316.10994787067148</v>
      </c>
      <c r="D170" s="14">
        <f>+DATOS!D123</f>
        <v>-317.60012299056768</v>
      </c>
      <c r="E170" s="14">
        <f>+DATOS!E123</f>
        <v>-313.54353516418337</v>
      </c>
      <c r="F170" s="14">
        <f>+DATOS!F123</f>
        <v>-317.60012299056768</v>
      </c>
      <c r="G170" s="14">
        <f>+DATOS!G123</f>
        <v>-317.13651295326667</v>
      </c>
      <c r="H170" s="14">
        <f>+DATOS!H123</f>
        <v>-314.12304771080966</v>
      </c>
      <c r="I170" s="14">
        <f>+DATOS!I123</f>
        <v>-317.60012299056768</v>
      </c>
      <c r="J170" s="14">
        <f>+DATOS!J123</f>
        <v>-313.54353516418337</v>
      </c>
      <c r="K170" s="14">
        <f>+DATOS!K123</f>
        <v>-317.60012299056768</v>
      </c>
      <c r="L170" s="14">
        <f>+DATOS!L123</f>
        <v>-317.13651295326667</v>
      </c>
      <c r="M170" s="14">
        <f>+DATOS!M123</f>
        <v>-314.12304771080966</v>
      </c>
    </row>
    <row r="171" spans="1:13" x14ac:dyDescent="0.25">
      <c r="A171" s="9">
        <v>18</v>
      </c>
      <c r="B171" s="14">
        <f>+DATOS!B124</f>
        <v>-424.71573565604496</v>
      </c>
      <c r="C171" s="14">
        <f>+DATOS!C124</f>
        <v>-422.7229756522284</v>
      </c>
      <c r="D171" s="14">
        <f>+DATOS!D124</f>
        <v>-424.71573565604496</v>
      </c>
      <c r="E171" s="14">
        <f>+DATOS!E124</f>
        <v>-419.29100009009977</v>
      </c>
      <c r="F171" s="14">
        <f>+DATOS!F124</f>
        <v>-424.71573565604496</v>
      </c>
      <c r="G171" s="14">
        <f>+DATOS!G124</f>
        <v>-424.09576587707971</v>
      </c>
      <c r="H171" s="14">
        <f>+DATOS!H124</f>
        <v>-420.06596231380615</v>
      </c>
      <c r="I171" s="14">
        <f>+DATOS!I124</f>
        <v>-424.7157356560449</v>
      </c>
      <c r="J171" s="14">
        <f>+DATOS!J124</f>
        <v>-419.29100009009983</v>
      </c>
      <c r="K171" s="14">
        <f>+DATOS!K124</f>
        <v>-424.71573565604496</v>
      </c>
      <c r="L171" s="14">
        <f>+DATOS!L124</f>
        <v>-424.09576587707977</v>
      </c>
      <c r="M171" s="14">
        <f>+DATOS!M124</f>
        <v>-420.06596231380621</v>
      </c>
    </row>
    <row r="172" spans="1:13" x14ac:dyDescent="0.25">
      <c r="A172" s="9">
        <v>19</v>
      </c>
      <c r="B172" s="14">
        <f>+DATOS!B125</f>
        <v>-386.28868847446455</v>
      </c>
      <c r="C172" s="14">
        <f>+DATOS!C125</f>
        <v>-384.47622761254291</v>
      </c>
      <c r="D172" s="14">
        <f>+DATOS!D125</f>
        <v>-386.28868847446455</v>
      </c>
      <c r="E172" s="14">
        <f>+DATOS!E125</f>
        <v>-381.35476723923335</v>
      </c>
      <c r="F172" s="14">
        <f>+DATOS!F125</f>
        <v>-386.28868847446455</v>
      </c>
      <c r="G172" s="14">
        <f>+DATOS!G125</f>
        <v>-385.7248117618667</v>
      </c>
      <c r="H172" s="14">
        <f>+DATOS!H125</f>
        <v>-382.05961312998068</v>
      </c>
      <c r="I172" s="14">
        <f>+DATOS!I125</f>
        <v>-386.28868847446455</v>
      </c>
      <c r="J172" s="14">
        <f>+DATOS!J125</f>
        <v>-381.35476723923335</v>
      </c>
      <c r="K172" s="14">
        <f>+DATOS!K125</f>
        <v>-386.28868847446455</v>
      </c>
      <c r="L172" s="14">
        <f>+DATOS!L125</f>
        <v>-385.7248117618667</v>
      </c>
      <c r="M172" s="14">
        <f>+DATOS!M125</f>
        <v>-382.05961312998068</v>
      </c>
    </row>
    <row r="173" spans="1:13" x14ac:dyDescent="0.25">
      <c r="A173" s="9">
        <v>20</v>
      </c>
      <c r="B173" s="14">
        <f>+DATOS!B126</f>
        <v>-375.18510115510941</v>
      </c>
      <c r="C173" s="14">
        <f>+DATOS!C126</f>
        <v>-373.42473816207126</v>
      </c>
      <c r="D173" s="14">
        <f>+DATOS!D126</f>
        <v>-375.18510115510946</v>
      </c>
      <c r="E173" s="14">
        <f>+DATOS!E126</f>
        <v>-370.39300189628312</v>
      </c>
      <c r="F173" s="14">
        <f>+DATOS!F126</f>
        <v>-375.18510115510946</v>
      </c>
      <c r="G173" s="14">
        <f>+DATOS!G126</f>
        <v>-374.63743266838645</v>
      </c>
      <c r="H173" s="14">
        <f>+DATOS!H126</f>
        <v>-371.0775875046869</v>
      </c>
      <c r="I173" s="14">
        <f>+DATOS!I126</f>
        <v>-375.18510115510941</v>
      </c>
      <c r="J173" s="14">
        <f>+DATOS!J126</f>
        <v>-370.39300189628312</v>
      </c>
      <c r="K173" s="14">
        <f>+DATOS!K126</f>
        <v>-375.18510115510941</v>
      </c>
      <c r="L173" s="14">
        <f>+DATOS!L126</f>
        <v>-374.63743266838645</v>
      </c>
      <c r="M173" s="14">
        <f>+DATOS!M126</f>
        <v>-371.0775875046869</v>
      </c>
    </row>
    <row r="174" spans="1:13" x14ac:dyDescent="0.25">
      <c r="A174" s="9">
        <v>21</v>
      </c>
      <c r="B174" s="14">
        <f>+DATOS!B127</f>
        <v>-299.60605415992899</v>
      </c>
      <c r="C174" s="14">
        <f>+DATOS!C127</f>
        <v>-298.20030694712858</v>
      </c>
      <c r="D174" s="14">
        <f>+DATOS!D127</f>
        <v>-299.60605415992899</v>
      </c>
      <c r="E174" s="14">
        <f>+DATOS!E127</f>
        <v>-295.77929785841667</v>
      </c>
      <c r="F174" s="14">
        <f>+DATOS!F127</f>
        <v>-299.60605415992899</v>
      </c>
      <c r="G174" s="14">
        <f>+DATOS!G127</f>
        <v>-299.1687105826133</v>
      </c>
      <c r="H174" s="14">
        <f>+DATOS!H127</f>
        <v>-296.32597733006128</v>
      </c>
      <c r="I174" s="14">
        <f>+DATOS!I127</f>
        <v>-299.60605415992899</v>
      </c>
      <c r="J174" s="14">
        <f>+DATOS!J127</f>
        <v>-295.77929785841667</v>
      </c>
      <c r="K174" s="14">
        <f>+DATOS!K127</f>
        <v>-299.60605415992899</v>
      </c>
      <c r="L174" s="14">
        <f>+DATOS!L127</f>
        <v>-299.1687105826133</v>
      </c>
      <c r="M174" s="14">
        <f>+DATOS!M127</f>
        <v>-296.32597733006128</v>
      </c>
    </row>
    <row r="175" spans="1:13" x14ac:dyDescent="0.25">
      <c r="A175" s="9">
        <v>22</v>
      </c>
      <c r="B175" s="14">
        <f>+DATOS!B128</f>
        <v>-290.18197659831606</v>
      </c>
      <c r="C175" s="14">
        <f>+DATOS!C128</f>
        <v>-288.82044701924269</v>
      </c>
      <c r="D175" s="14">
        <f>+DATOS!D128</f>
        <v>-290.18197659831606</v>
      </c>
      <c r="E175" s="14">
        <f>+DATOS!E128</f>
        <v>-286.47559052194987</v>
      </c>
      <c r="F175" s="14">
        <f>+DATOS!F128</f>
        <v>-290.18197659831606</v>
      </c>
      <c r="G175" s="14">
        <f>+DATOS!G128</f>
        <v>-289.75838961815987</v>
      </c>
      <c r="H175" s="14">
        <f>+DATOS!H128</f>
        <v>-287.00507424714505</v>
      </c>
      <c r="I175" s="14">
        <f>+DATOS!I128</f>
        <v>-290.18197659831606</v>
      </c>
      <c r="J175" s="14">
        <f>+DATOS!J128</f>
        <v>-286.47559052194987</v>
      </c>
      <c r="K175" s="14">
        <f>+DATOS!K128</f>
        <v>-290.18197659831606</v>
      </c>
      <c r="L175" s="14">
        <f>+DATOS!L128</f>
        <v>-289.75838961815987</v>
      </c>
      <c r="M175" s="14">
        <f>+DATOS!M128</f>
        <v>-287.00507424714505</v>
      </c>
    </row>
    <row r="176" spans="1:13" x14ac:dyDescent="0.25">
      <c r="A176" s="9">
        <v>23</v>
      </c>
      <c r="B176" s="14">
        <f>+DATOS!B129</f>
        <v>-287.11837336185482</v>
      </c>
      <c r="C176" s="14">
        <f>+DATOS!C129</f>
        <v>-285.77121816424278</v>
      </c>
      <c r="D176" s="14">
        <f>+DATOS!D129</f>
        <v>-287.11837336185482</v>
      </c>
      <c r="E176" s="14">
        <f>+DATOS!E129</f>
        <v>-283.45111754613328</v>
      </c>
      <c r="F176" s="14">
        <f>+DATOS!F129</f>
        <v>-287.11837336185482</v>
      </c>
      <c r="G176" s="14">
        <f>+DATOS!G129</f>
        <v>-286.69925841148665</v>
      </c>
      <c r="H176" s="14">
        <f>+DATOS!H129</f>
        <v>-283.97501123409353</v>
      </c>
      <c r="I176" s="14">
        <f>+DATOS!I129</f>
        <v>-287.11837336185482</v>
      </c>
      <c r="J176" s="14">
        <f>+DATOS!J129</f>
        <v>-283.45111754613328</v>
      </c>
      <c r="K176" s="14">
        <f>+DATOS!K129</f>
        <v>-287.11837336185482</v>
      </c>
      <c r="L176" s="14">
        <f>+DATOS!L129</f>
        <v>-286.69925841148665</v>
      </c>
      <c r="M176" s="14">
        <f>+DATOS!M129</f>
        <v>-283.97501123409353</v>
      </c>
    </row>
    <row r="179" spans="2:9" ht="30" x14ac:dyDescent="0.25">
      <c r="B179" s="9" t="s">
        <v>21</v>
      </c>
      <c r="C179" s="9" t="s">
        <v>40</v>
      </c>
      <c r="D179" s="9" t="s">
        <v>38</v>
      </c>
      <c r="E179" s="9" t="s">
        <v>41</v>
      </c>
      <c r="F179" s="9" t="s">
        <v>42</v>
      </c>
      <c r="G179" s="9" t="s">
        <v>43</v>
      </c>
      <c r="H179" s="9" t="s">
        <v>44</v>
      </c>
      <c r="I179" s="9" t="s">
        <v>93</v>
      </c>
    </row>
    <row r="180" spans="2:9" x14ac:dyDescent="0.25">
      <c r="B180" t="s">
        <v>14</v>
      </c>
      <c r="C180" s="6">
        <f>+DATOS!B50</f>
        <v>261.31960799999996</v>
      </c>
      <c r="D180" s="6">
        <f>+DATOS!C50</f>
        <v>223.40456373999501</v>
      </c>
      <c r="E180" s="6">
        <f>+DATOS!D50</f>
        <v>37.91504426000467</v>
      </c>
      <c r="F180" s="6">
        <f>+DATOS!E50</f>
        <v>91.237753587607259</v>
      </c>
      <c r="G180" s="6">
        <f>+DATOS!F50</f>
        <v>170.08185441239272</v>
      </c>
      <c r="H180" s="6">
        <f>+DATOS!G50</f>
        <v>132.16681015238774</v>
      </c>
      <c r="I180" s="15" t="str">
        <f>CONCATENATE(ROUND(DATOS!H50,2), "%")</f>
        <v>40.84%</v>
      </c>
    </row>
    <row r="181" spans="2:9" x14ac:dyDescent="0.25">
      <c r="B181" t="s">
        <v>24</v>
      </c>
      <c r="C181" s="6">
        <f>+DATOS!B51</f>
        <v>233.85322270588236</v>
      </c>
      <c r="D181" s="6">
        <f>+DATOS!C51</f>
        <v>200.83799607999563</v>
      </c>
      <c r="E181" s="6">
        <f>+DATOS!D51</f>
        <v>33.015226625886427</v>
      </c>
      <c r="F181" s="6">
        <f>+DATOS!E51</f>
        <v>81.955762844865276</v>
      </c>
      <c r="G181" s="6">
        <f>+DATOS!F51</f>
        <v>151.8974598610171</v>
      </c>
      <c r="H181" s="6">
        <f>+DATOS!G51</f>
        <v>118.88223323513047</v>
      </c>
      <c r="I181" s="15" t="str">
        <f>CONCATENATE(ROUND(DATOS!H51,2), "%")</f>
        <v>40.81%</v>
      </c>
    </row>
    <row r="182" spans="2:9" x14ac:dyDescent="0.25">
      <c r="B182" t="s">
        <v>25</v>
      </c>
      <c r="C182" s="6">
        <f>+DATOS!B52</f>
        <v>246.783541764706</v>
      </c>
      <c r="D182" s="6">
        <f>+DATOS!C52</f>
        <v>223.40456373999504</v>
      </c>
      <c r="E182" s="6">
        <f>+DATOS!D52</f>
        <v>23.378978024710513</v>
      </c>
      <c r="F182" s="6">
        <f>+DATOS!E52</f>
        <v>90.137922963548561</v>
      </c>
      <c r="G182" s="6">
        <f>+DATOS!F52</f>
        <v>156.6456188011573</v>
      </c>
      <c r="H182" s="6">
        <f>+DATOS!G52</f>
        <v>133.26664077644645</v>
      </c>
      <c r="I182" s="15" t="str">
        <f>CONCATENATE(ROUND(DATOS!H52,2), "%")</f>
        <v>40.35%</v>
      </c>
    </row>
    <row r="183" spans="2:9" x14ac:dyDescent="0.25">
      <c r="B183" t="s">
        <v>26</v>
      </c>
      <c r="C183" s="6">
        <f>+DATOS!B53</f>
        <v>230.88485117647059</v>
      </c>
      <c r="D183" s="6">
        <f>+DATOS!C53</f>
        <v>213.43654899999564</v>
      </c>
      <c r="E183" s="6">
        <f>+DATOS!D53</f>
        <v>17.448302176474566</v>
      </c>
      <c r="F183" s="6">
        <f>+DATOS!E53</f>
        <v>85.444027886277397</v>
      </c>
      <c r="G183" s="6">
        <f>+DATOS!F53</f>
        <v>145.44082329019315</v>
      </c>
      <c r="H183" s="6">
        <f>+DATOS!G53</f>
        <v>127.9925211137183</v>
      </c>
      <c r="I183" s="15" t="str">
        <f>CONCATENATE(ROUND(DATOS!H53,2), "%")</f>
        <v>40.03%</v>
      </c>
    </row>
    <row r="184" spans="2:9" x14ac:dyDescent="0.25">
      <c r="B184" t="s">
        <v>27</v>
      </c>
      <c r="C184" s="6">
        <f>+DATOS!B54</f>
        <v>231.48583835294102</v>
      </c>
      <c r="D184" s="6">
        <f>+DATOS!C54</f>
        <v>223.40456373999501</v>
      </c>
      <c r="E184" s="6">
        <f>+DATOS!D54</f>
        <v>8.0812746129457924</v>
      </c>
      <c r="F184" s="6">
        <f>+DATOS!E54</f>
        <v>88.700547819036572</v>
      </c>
      <c r="G184" s="6">
        <f>+DATOS!F54</f>
        <v>142.78529053390466</v>
      </c>
      <c r="H184" s="6">
        <f>+DATOS!G54</f>
        <v>134.70401592095862</v>
      </c>
      <c r="I184" s="15" t="str">
        <f>CONCATENATE(ROUND(DATOS!H54,2), "%")</f>
        <v>39.7%</v>
      </c>
    </row>
    <row r="185" spans="2:9" x14ac:dyDescent="0.25">
      <c r="B185" t="s">
        <v>28</v>
      </c>
      <c r="C185" s="6">
        <f>+DATOS!B55</f>
        <v>206.12128023529391</v>
      </c>
      <c r="D185" s="6">
        <f>+DATOS!C55</f>
        <v>215.88237451999524</v>
      </c>
      <c r="E185" s="6">
        <f>+DATOS!D55</f>
        <v>-9.7610942847014837</v>
      </c>
      <c r="F185" s="6">
        <f>+DATOS!E55</f>
        <v>84.972487642863001</v>
      </c>
      <c r="G185" s="6">
        <f>+DATOS!F55</f>
        <v>121.14879259243112</v>
      </c>
      <c r="H185" s="6">
        <f>+DATOS!G55</f>
        <v>130.90988687713227</v>
      </c>
      <c r="I185" s="15" t="str">
        <f>CONCATENATE(ROUND(DATOS!H55,2), "%")</f>
        <v>39.36%</v>
      </c>
    </row>
    <row r="186" spans="2:9" x14ac:dyDescent="0.25">
      <c r="B186" t="s">
        <v>29</v>
      </c>
      <c r="C186" s="6">
        <f>+DATOS!B56</f>
        <v>210.18062223529415</v>
      </c>
      <c r="D186" s="6">
        <f>+DATOS!C56</f>
        <v>220.95873821999544</v>
      </c>
      <c r="E186" s="6">
        <f>+DATOS!D56</f>
        <v>-10.77811598470168</v>
      </c>
      <c r="F186" s="6">
        <f>+DATOS!E56</f>
        <v>86.903277998533852</v>
      </c>
      <c r="G186" s="6">
        <f>+DATOS!F56</f>
        <v>123.27734423676023</v>
      </c>
      <c r="H186" s="6">
        <f>+DATOS!G56</f>
        <v>134.05546022146157</v>
      </c>
      <c r="I186" s="15" t="str">
        <f>CONCATENATE(ROUND(DATOS!H56,2), "%")</f>
        <v>39.33%</v>
      </c>
    </row>
    <row r="187" spans="2:9" x14ac:dyDescent="0.25">
      <c r="B187" t="s">
        <v>30</v>
      </c>
      <c r="C187" s="6">
        <f>+DATOS!B57</f>
        <v>215.26302070588233</v>
      </c>
      <c r="D187" s="6">
        <f>+DATOS!C57</f>
        <v>223.40456373999501</v>
      </c>
      <c r="E187" s="6">
        <f>+DATOS!D57</f>
        <v>-8.1415430341130524</v>
      </c>
      <c r="F187" s="6">
        <f>+DATOS!E57</f>
        <v>87.938093507497015</v>
      </c>
      <c r="G187" s="6">
        <f>+DATOS!F57</f>
        <v>127.32492719838525</v>
      </c>
      <c r="H187" s="6">
        <f>+DATOS!G57</f>
        <v>135.46647023249815</v>
      </c>
      <c r="I187" s="15" t="str">
        <f>CONCATENATE(ROUND(DATOS!H57,2), "%")</f>
        <v>39.36%</v>
      </c>
    </row>
    <row r="188" spans="2:9" x14ac:dyDescent="0.25">
      <c r="B188" t="s">
        <v>31</v>
      </c>
      <c r="C188" s="6">
        <f>+DATOS!B58</f>
        <v>224.21693329411767</v>
      </c>
      <c r="D188" s="6">
        <f>+DATOS!C58</f>
        <v>213.43654899999564</v>
      </c>
      <c r="E188" s="6">
        <f>+DATOS!D58</f>
        <v>10.780384294121674</v>
      </c>
      <c r="F188" s="6">
        <f>+DATOS!E58</f>
        <v>85.34348639401118</v>
      </c>
      <c r="G188" s="6">
        <f>+DATOS!F58</f>
        <v>138.87344690010636</v>
      </c>
      <c r="H188" s="6">
        <f>+DATOS!G58</f>
        <v>128.0930626059845</v>
      </c>
      <c r="I188" s="15" t="str">
        <f>CONCATENATE(ROUND(DATOS!H58,2), "%")</f>
        <v>39.99%</v>
      </c>
    </row>
    <row r="189" spans="2:9" x14ac:dyDescent="0.25">
      <c r="B189" t="s">
        <v>32</v>
      </c>
      <c r="C189" s="6">
        <f>+DATOS!B59</f>
        <v>236.64567917647062</v>
      </c>
      <c r="D189" s="6">
        <f>+DATOS!C59</f>
        <v>223.40456373999501</v>
      </c>
      <c r="E189" s="6">
        <f>+DATOS!D59</f>
        <v>13.241115436475202</v>
      </c>
      <c r="F189" s="6">
        <f>+DATOS!E59</f>
        <v>90.084531872548837</v>
      </c>
      <c r="G189" s="6">
        <f>+DATOS!F59</f>
        <v>146.56114730392173</v>
      </c>
      <c r="H189" s="6">
        <f>+DATOS!G59</f>
        <v>133.32003186744632</v>
      </c>
      <c r="I189" s="15" t="str">
        <f>CONCATENATE(ROUND(DATOS!H59,2), "%")</f>
        <v>40.32%</v>
      </c>
    </row>
    <row r="190" spans="2:9" x14ac:dyDescent="0.25">
      <c r="B190" t="s">
        <v>33</v>
      </c>
      <c r="C190" s="6">
        <f>+DATOS!B60</f>
        <v>228.94794741176474</v>
      </c>
      <c r="D190" s="6">
        <f>+DATOS!C60</f>
        <v>215.88237451999524</v>
      </c>
      <c r="E190" s="6">
        <f>+DATOS!D60</f>
        <v>13.065572891769113</v>
      </c>
      <c r="F190" s="6">
        <f>+DATOS!E60</f>
        <v>87.184185228672362</v>
      </c>
      <c r="G190" s="6">
        <f>+DATOS!F60</f>
        <v>141.76376218309235</v>
      </c>
      <c r="H190" s="6">
        <f>+DATOS!G60</f>
        <v>128.69818929132299</v>
      </c>
      <c r="I190" s="15" t="str">
        <f>CONCATENATE(ROUND(DATOS!H60,2), "%")</f>
        <v>40.39%</v>
      </c>
    </row>
    <row r="191" spans="2:9" x14ac:dyDescent="0.25">
      <c r="B191" t="s">
        <v>34</v>
      </c>
      <c r="C191" s="6">
        <f>+DATOS!B61</f>
        <v>244.13838564705875</v>
      </c>
      <c r="D191" s="6">
        <f>+DATOS!C61</f>
        <v>220.95873821999544</v>
      </c>
      <c r="E191" s="6">
        <f>+DATOS!D61</f>
        <v>23.17964742706306</v>
      </c>
      <c r="F191" s="6">
        <f>+DATOS!E61</f>
        <v>89.853242180428865</v>
      </c>
      <c r="G191" s="6">
        <f>+DATOS!F61</f>
        <v>154.28514346663005</v>
      </c>
      <c r="H191" s="6">
        <f>+DATOS!G61</f>
        <v>131.10549603956659</v>
      </c>
      <c r="I191" s="15" t="str">
        <f>CONCATENATE(ROUND(DATOS!H61,2), "%")</f>
        <v>40.67%</v>
      </c>
    </row>
    <row r="192" spans="2:9" x14ac:dyDescent="0.25">
      <c r="C192" s="6">
        <f>SUBTOTAL(109,ResumenMensualComparativa[Producción (MWh)])</f>
        <v>2769.8409307058823</v>
      </c>
      <c r="D192" s="6">
        <f>SUBTOTAL(109,ResumenMensualComparativa[Consumo (MWh)])</f>
        <v>2618.4161382599432</v>
      </c>
      <c r="E192" s="5"/>
      <c r="F192" s="5"/>
      <c r="G192" s="5"/>
      <c r="H192" s="5"/>
      <c r="I192" s="5"/>
    </row>
    <row r="195" spans="1:5" ht="30" x14ac:dyDescent="0.25">
      <c r="A195" s="9" t="s">
        <v>47</v>
      </c>
      <c r="B195" s="9" t="s">
        <v>48</v>
      </c>
      <c r="C195" s="9" t="s">
        <v>49</v>
      </c>
      <c r="D195" s="9" t="s">
        <v>50</v>
      </c>
      <c r="E195" s="9" t="s">
        <v>51</v>
      </c>
    </row>
    <row r="196" spans="1:5" x14ac:dyDescent="0.25">
      <c r="A196" s="5">
        <v>0</v>
      </c>
      <c r="B196" s="6">
        <f>+DATOS!B66</f>
        <v>0</v>
      </c>
      <c r="C196" s="6">
        <f>+DATOS!C66</f>
        <v>277.86791201308569</v>
      </c>
      <c r="D196" s="6">
        <f>+DATOS!D66</f>
        <v>-277.86791201308569</v>
      </c>
      <c r="E196" s="6" t="str">
        <f>CONCATENATE(ROUND(DATOS!E66,2), "%")</f>
        <v>0%</v>
      </c>
    </row>
    <row r="197" spans="1:5" x14ac:dyDescent="0.25">
      <c r="A197" s="5">
        <v>1</v>
      </c>
      <c r="B197" s="6">
        <f>+DATOS!B67</f>
        <v>0</v>
      </c>
      <c r="C197" s="6">
        <f>+DATOS!C67</f>
        <v>277.86791201308569</v>
      </c>
      <c r="D197" s="6">
        <f>+DATOS!D67</f>
        <v>-277.86791201308569</v>
      </c>
      <c r="E197" s="6" t="str">
        <f>CONCATENATE(ROUND(DATOS!E67,2), "%")</f>
        <v>0%</v>
      </c>
    </row>
    <row r="198" spans="1:5" x14ac:dyDescent="0.25">
      <c r="A198" s="5">
        <v>2</v>
      </c>
      <c r="B198" s="6">
        <f>+DATOS!B68</f>
        <v>0</v>
      </c>
      <c r="C198" s="6">
        <f>+DATOS!C68</f>
        <v>277.86791201308569</v>
      </c>
      <c r="D198" s="6">
        <f>+DATOS!D68</f>
        <v>-277.86791201308569</v>
      </c>
      <c r="E198" s="6" t="str">
        <f>CONCATENATE(ROUND(DATOS!E68,2), "%")</f>
        <v>0%</v>
      </c>
    </row>
    <row r="199" spans="1:5" x14ac:dyDescent="0.25">
      <c r="A199" s="5">
        <v>3</v>
      </c>
      <c r="B199" s="6">
        <f>+DATOS!B69</f>
        <v>0</v>
      </c>
      <c r="C199" s="6">
        <f>+DATOS!C69</f>
        <v>247.3715540032498</v>
      </c>
      <c r="D199" s="6">
        <f>+DATOS!D69</f>
        <v>-247.3715540032498</v>
      </c>
      <c r="E199" s="6" t="str">
        <f>CONCATENATE(ROUND(DATOS!E69,2), "%")</f>
        <v>0%</v>
      </c>
    </row>
    <row r="200" spans="1:5" x14ac:dyDescent="0.25">
      <c r="A200" s="5">
        <v>4</v>
      </c>
      <c r="B200" s="6">
        <f>+DATOS!B70</f>
        <v>2.869580016116037</v>
      </c>
      <c r="C200" s="6">
        <f>+DATOS!C70</f>
        <v>276.66044940157542</v>
      </c>
      <c r="D200" s="6">
        <f>+DATOS!D70</f>
        <v>-273.79086938546095</v>
      </c>
      <c r="E200" s="6" t="str">
        <f>CONCATENATE(ROUND(DATOS!E70,2), "%")</f>
        <v>1.04%</v>
      </c>
    </row>
    <row r="201" spans="1:5" x14ac:dyDescent="0.25">
      <c r="A201" s="5">
        <v>5</v>
      </c>
      <c r="B201" s="6">
        <f>+DATOS!B71</f>
        <v>173.48678775181313</v>
      </c>
      <c r="C201" s="6">
        <f>+DATOS!C71</f>
        <v>240.15766414436638</v>
      </c>
      <c r="D201" s="6">
        <f>+DATOS!D71</f>
        <v>-66.670876392553765</v>
      </c>
      <c r="E201" s="6" t="str">
        <f>CONCATENATE(ROUND(DATOS!E71,2), "%")</f>
        <v>72.24%</v>
      </c>
    </row>
    <row r="202" spans="1:5" x14ac:dyDescent="0.25">
      <c r="A202" s="5">
        <v>6</v>
      </c>
      <c r="B202" s="6">
        <f>+DATOS!B72</f>
        <v>457.35901498791327</v>
      </c>
      <c r="C202" s="6">
        <f>+DATOS!C72</f>
        <v>210.25889470381011</v>
      </c>
      <c r="D202" s="6">
        <f>+DATOS!D72</f>
        <v>247.10012028410407</v>
      </c>
      <c r="E202" s="6" t="str">
        <f>CONCATENATE(ROUND(DATOS!E72,2), "%")</f>
        <v>100%</v>
      </c>
    </row>
    <row r="203" spans="1:5" x14ac:dyDescent="0.25">
      <c r="A203" s="5">
        <v>7</v>
      </c>
      <c r="B203" s="6">
        <f>+DATOS!B73</f>
        <v>725.53254730056358</v>
      </c>
      <c r="C203" s="6">
        <f>+DATOS!C73</f>
        <v>222.43418008814504</v>
      </c>
      <c r="D203" s="6">
        <f>+DATOS!D73</f>
        <v>503.09836721241828</v>
      </c>
      <c r="E203" s="6" t="str">
        <f>CONCATENATE(ROUND(DATOS!E73,2), "%")</f>
        <v>100%</v>
      </c>
    </row>
    <row r="204" spans="1:5" x14ac:dyDescent="0.25">
      <c r="A204" s="5">
        <v>8</v>
      </c>
      <c r="B204" s="6">
        <f>+DATOS!B74</f>
        <v>941.6202062852542</v>
      </c>
      <c r="C204" s="6">
        <f>+DATOS!C74</f>
        <v>239.95784955298217</v>
      </c>
      <c r="D204" s="6">
        <f>+DATOS!D74</f>
        <v>701.66235673227015</v>
      </c>
      <c r="E204" s="6" t="str">
        <f>CONCATENATE(ROUND(DATOS!E74,2), "%")</f>
        <v>100%</v>
      </c>
    </row>
    <row r="205" spans="1:5" x14ac:dyDescent="0.25">
      <c r="A205" s="5">
        <v>9</v>
      </c>
      <c r="B205" s="6">
        <f>+DATOS!B75</f>
        <v>1065.7957605157128</v>
      </c>
      <c r="C205" s="6">
        <f>+DATOS!C75</f>
        <v>293.03202344606524</v>
      </c>
      <c r="D205" s="6">
        <f>+DATOS!D75</f>
        <v>772.76373706964989</v>
      </c>
      <c r="E205" s="6" t="str">
        <f>CONCATENATE(ROUND(DATOS!E75,2), "%")</f>
        <v>100%</v>
      </c>
    </row>
    <row r="206" spans="1:5" x14ac:dyDescent="0.25">
      <c r="A206" s="5">
        <v>10</v>
      </c>
      <c r="B206" s="6">
        <f>+DATOS!B76</f>
        <v>1088.8329698630146</v>
      </c>
      <c r="C206" s="6">
        <f>+DATOS!C76</f>
        <v>340.21596572784136</v>
      </c>
      <c r="D206" s="6">
        <f>+DATOS!D76</f>
        <v>748.61700413517372</v>
      </c>
      <c r="E206" s="6" t="str">
        <f>CONCATENATE(ROUND(DATOS!E76,2), "%")</f>
        <v>100%</v>
      </c>
    </row>
    <row r="207" spans="1:5" x14ac:dyDescent="0.25">
      <c r="A207" s="5">
        <v>11</v>
      </c>
      <c r="B207" s="6">
        <f>+DATOS!B77</f>
        <v>1037.0007326349714</v>
      </c>
      <c r="C207" s="6">
        <f>+DATOS!C77</f>
        <v>383.93230438145184</v>
      </c>
      <c r="D207" s="6">
        <f>+DATOS!D77</f>
        <v>653.06842825351919</v>
      </c>
      <c r="E207" s="6" t="str">
        <f>CONCATENATE(ROUND(DATOS!E77,2), "%")</f>
        <v>100%</v>
      </c>
    </row>
    <row r="208" spans="1:5" x14ac:dyDescent="0.25">
      <c r="A208" s="5">
        <v>12</v>
      </c>
      <c r="B208" s="6">
        <f>+DATOS!B78</f>
        <v>873.58470265914423</v>
      </c>
      <c r="C208" s="6">
        <f>+DATOS!C78</f>
        <v>305.54009767842297</v>
      </c>
      <c r="D208" s="6">
        <f>+DATOS!D78</f>
        <v>568.04460498072285</v>
      </c>
      <c r="E208" s="6" t="str">
        <f>CONCATENATE(ROUND(DATOS!E78,2), "%")</f>
        <v>100%</v>
      </c>
    </row>
    <row r="209" spans="1:5" x14ac:dyDescent="0.25">
      <c r="A209" s="5">
        <v>13</v>
      </c>
      <c r="B209" s="6">
        <f>+DATOS!B79</f>
        <v>666.50675004028994</v>
      </c>
      <c r="C209" s="6">
        <f>+DATOS!C79</f>
        <v>298.65138736905749</v>
      </c>
      <c r="D209" s="6">
        <f>+DATOS!D79</f>
        <v>367.85536267123365</v>
      </c>
      <c r="E209" s="6" t="str">
        <f>CONCATENATE(ROUND(DATOS!E79,2), "%")</f>
        <v>100%</v>
      </c>
    </row>
    <row r="210" spans="1:5" x14ac:dyDescent="0.25">
      <c r="A210" s="5">
        <v>14</v>
      </c>
      <c r="B210" s="6">
        <f>+DATOS!B80</f>
        <v>411.13493086220791</v>
      </c>
      <c r="C210" s="6">
        <f>+DATOS!C80</f>
        <v>266.35948396299295</v>
      </c>
      <c r="D210" s="6">
        <f>+DATOS!D80</f>
        <v>144.77544689921305</v>
      </c>
      <c r="E210" s="6" t="str">
        <f>CONCATENATE(ROUND(DATOS!E80,2), "%")</f>
        <v>100%</v>
      </c>
    </row>
    <row r="211" spans="1:5" x14ac:dyDescent="0.25">
      <c r="A211" s="5">
        <v>15</v>
      </c>
      <c r="B211" s="6">
        <f>+DATOS!B81</f>
        <v>144.70337792103149</v>
      </c>
      <c r="C211" s="6">
        <f>+DATOS!C81</f>
        <v>348.31219472580153</v>
      </c>
      <c r="D211" s="6">
        <f>+DATOS!D81</f>
        <v>-203.60881680476922</v>
      </c>
      <c r="E211" s="6" t="str">
        <f>CONCATENATE(ROUND(DATOS!E81,2), "%")</f>
        <v>41.54%</v>
      </c>
    </row>
    <row r="212" spans="1:5" x14ac:dyDescent="0.25">
      <c r="A212" s="5">
        <v>16</v>
      </c>
      <c r="B212" s="6">
        <f>+DATOS!B82</f>
        <v>0.17792876712328773</v>
      </c>
      <c r="C212" s="6">
        <f>+DATOS!C82</f>
        <v>297.41296417773998</v>
      </c>
      <c r="D212" s="6">
        <f>+DATOS!D82</f>
        <v>-297.23503541061666</v>
      </c>
      <c r="E212" s="6" t="str">
        <f>CONCATENATE(ROUND(DATOS!E82,2), "%")</f>
        <v>0.06%</v>
      </c>
    </row>
    <row r="213" spans="1:5" x14ac:dyDescent="0.25">
      <c r="A213" s="5">
        <v>17</v>
      </c>
      <c r="B213" s="6">
        <f>+DATOS!B83</f>
        <v>0</v>
      </c>
      <c r="C213" s="6">
        <f>+DATOS!C83</f>
        <v>316.15213547680634</v>
      </c>
      <c r="D213" s="6">
        <f>+DATOS!D83</f>
        <v>-316.15213547680634</v>
      </c>
      <c r="E213" s="6" t="str">
        <f>CONCATENATE(ROUND(DATOS!E83,2), "%")</f>
        <v>0%</v>
      </c>
    </row>
    <row r="214" spans="1:5" x14ac:dyDescent="0.25">
      <c r="A214" s="5">
        <v>18</v>
      </c>
      <c r="B214" s="6">
        <f>+DATOS!B84</f>
        <v>0</v>
      </c>
      <c r="C214" s="6">
        <f>+DATOS!C84</f>
        <v>422.77939168886616</v>
      </c>
      <c r="D214" s="6">
        <f>+DATOS!D84</f>
        <v>-422.77939168886616</v>
      </c>
      <c r="E214" s="6" t="str">
        <f>CONCATENATE(ROUND(DATOS!E84,2), "%")</f>
        <v>0%</v>
      </c>
    </row>
    <row r="215" spans="1:5" x14ac:dyDescent="0.25">
      <c r="A215" s="5">
        <v>19</v>
      </c>
      <c r="B215" s="6">
        <f>+DATOS!B85</f>
        <v>0</v>
      </c>
      <c r="C215" s="6">
        <f>+DATOS!C85</f>
        <v>384.52753928991228</v>
      </c>
      <c r="D215" s="6">
        <f>+DATOS!D85</f>
        <v>-384.52753928991228</v>
      </c>
      <c r="E215" s="6" t="str">
        <f>CONCATENATE(ROUND(DATOS!E85,2), "%")</f>
        <v>0%</v>
      </c>
    </row>
    <row r="216" spans="1:5" x14ac:dyDescent="0.25">
      <c r="A216" s="5">
        <v>20</v>
      </c>
      <c r="B216" s="6">
        <f>+DATOS!B86</f>
        <v>0</v>
      </c>
      <c r="C216" s="6">
        <f>+DATOS!C86</f>
        <v>373.47457492260247</v>
      </c>
      <c r="D216" s="6">
        <f>+DATOS!D86</f>
        <v>-373.47457492260247</v>
      </c>
      <c r="E216" s="6" t="str">
        <f>CONCATENATE(ROUND(DATOS!E86,2), "%")</f>
        <v>0%</v>
      </c>
    </row>
    <row r="217" spans="1:5" x14ac:dyDescent="0.25">
      <c r="A217" s="5">
        <v>21</v>
      </c>
      <c r="B217" s="6">
        <f>+DATOS!B87</f>
        <v>0</v>
      </c>
      <c r="C217" s="6">
        <f>+DATOS!C87</f>
        <v>298.24010435680748</v>
      </c>
      <c r="D217" s="6">
        <f>+DATOS!D87</f>
        <v>-298.24010435680748</v>
      </c>
      <c r="E217" s="6" t="str">
        <f>CONCATENATE(ROUND(DATOS!E87,2), "%")</f>
        <v>0%</v>
      </c>
    </row>
    <row r="218" spans="1:5" x14ac:dyDescent="0.25">
      <c r="A218" s="5">
        <v>22</v>
      </c>
      <c r="B218" s="6">
        <f>+DATOS!B88</f>
        <v>0</v>
      </c>
      <c r="C218" s="6">
        <f>+DATOS!C88</f>
        <v>288.85899260550127</v>
      </c>
      <c r="D218" s="6">
        <f>+DATOS!D88</f>
        <v>-288.85899260550127</v>
      </c>
      <c r="E218" s="6" t="str">
        <f>CONCATENATE(ROUND(DATOS!E88,2), "%")</f>
        <v>0%</v>
      </c>
    </row>
    <row r="219" spans="1:5" x14ac:dyDescent="0.25">
      <c r="A219" s="5">
        <v>23</v>
      </c>
      <c r="B219" s="6">
        <f>+DATOS!B89</f>
        <v>0</v>
      </c>
      <c r="C219" s="6">
        <f>+DATOS!C89</f>
        <v>285.8093568045386</v>
      </c>
      <c r="D219" s="6">
        <f>+DATOS!D89</f>
        <v>-285.8093568045386</v>
      </c>
      <c r="E219" s="6" t="str">
        <f>CONCATENATE(ROUND(DATOS!E89,2), "%")</f>
        <v>0%</v>
      </c>
    </row>
    <row r="220" spans="1:5" x14ac:dyDescent="0.25">
      <c r="A220" s="11" t="s">
        <v>35</v>
      </c>
      <c r="B220" s="6">
        <f>SUBTOTAL(109,PerfilHorarioComparativa[Prod. media (kWh/h)])</f>
        <v>7588.6052896051551</v>
      </c>
      <c r="C220" s="6">
        <f>SUBTOTAL(109,PerfilHorarioComparativa[Cons. media (kWh/h)])</f>
        <v>7173.7428445477926</v>
      </c>
      <c r="D220" s="2"/>
    </row>
    <row r="229" spans="1:3" ht="45" x14ac:dyDescent="0.25">
      <c r="A229" s="9" t="s">
        <v>47</v>
      </c>
      <c r="B229" s="9" t="s">
        <v>94</v>
      </c>
      <c r="C229" s="9" t="s">
        <v>95</v>
      </c>
    </row>
    <row r="230" spans="1:3" x14ac:dyDescent="0.25">
      <c r="A230">
        <v>0</v>
      </c>
      <c r="B230" s="4">
        <v>298.05788050372672</v>
      </c>
      <c r="C230" s="7">
        <v>3.873402183969879E-2</v>
      </c>
    </row>
    <row r="231" spans="1:3" x14ac:dyDescent="0.25">
      <c r="A231">
        <v>1</v>
      </c>
      <c r="B231" s="4">
        <v>298.05788050372672</v>
      </c>
      <c r="C231" s="7">
        <v>3.873402183969879E-2</v>
      </c>
    </row>
    <row r="232" spans="1:3" x14ac:dyDescent="0.25">
      <c r="A232">
        <v>2</v>
      </c>
      <c r="B232" s="4">
        <v>298.05788050372672</v>
      </c>
      <c r="C232" s="7">
        <v>3.873402183969879E-2</v>
      </c>
    </row>
    <row r="233" spans="1:3" x14ac:dyDescent="0.25">
      <c r="A233">
        <v>3</v>
      </c>
      <c r="B233" s="4">
        <v>265.34564768184549</v>
      </c>
      <c r="C233" s="7">
        <v>3.4482913503268757E-2</v>
      </c>
    </row>
    <row r="234" spans="1:3" x14ac:dyDescent="0.25">
      <c r="A234">
        <v>4</v>
      </c>
      <c r="B234" s="4">
        <v>296.76268328510838</v>
      </c>
      <c r="C234" s="7">
        <v>3.856570487633619E-2</v>
      </c>
    </row>
    <row r="235" spans="1:3" x14ac:dyDescent="0.25">
      <c r="A235">
        <v>5</v>
      </c>
      <c r="B235" s="4">
        <v>257.60759435303009</v>
      </c>
      <c r="C235" s="7">
        <v>3.3477317120014123E-2</v>
      </c>
    </row>
    <row r="236" spans="1:3" x14ac:dyDescent="0.25">
      <c r="A236">
        <v>6</v>
      </c>
      <c r="B236" s="4">
        <v>225.53637107084199</v>
      </c>
      <c r="C236" s="7">
        <v>2.9309510984713509E-2</v>
      </c>
    </row>
    <row r="237" spans="1:3" x14ac:dyDescent="0.25">
      <c r="A237">
        <v>7</v>
      </c>
      <c r="B237" s="4">
        <v>238.59631645967579</v>
      </c>
      <c r="C237" s="7">
        <v>3.100671224327925E-2</v>
      </c>
    </row>
    <row r="238" spans="1:3" x14ac:dyDescent="0.25">
      <c r="A238">
        <v>8</v>
      </c>
      <c r="B238" s="4">
        <v>257.39326117163807</v>
      </c>
      <c r="C238" s="7">
        <v>3.3449463516160481E-2</v>
      </c>
    </row>
    <row r="239" spans="1:3" x14ac:dyDescent="0.25">
      <c r="A239">
        <v>9</v>
      </c>
      <c r="B239" s="4">
        <v>314.32382096693152</v>
      </c>
      <c r="C239" s="7">
        <v>4.0847857219861262E-2</v>
      </c>
    </row>
    <row r="240" spans="1:3" x14ac:dyDescent="0.25">
      <c r="A240">
        <v>10</v>
      </c>
      <c r="B240" s="4">
        <v>364.93616309887352</v>
      </c>
      <c r="C240" s="7">
        <v>4.7425168855385808E-2</v>
      </c>
    </row>
    <row r="241" spans="1:3" x14ac:dyDescent="0.25">
      <c r="A241">
        <v>11</v>
      </c>
      <c r="B241" s="4">
        <v>411.828944449875</v>
      </c>
      <c r="C241" s="7">
        <v>5.3519106093026479E-2</v>
      </c>
    </row>
    <row r="242" spans="1:3" x14ac:dyDescent="0.25">
      <c r="A242">
        <v>12</v>
      </c>
      <c r="B242" s="4">
        <v>327.74073574441343</v>
      </c>
      <c r="C242" s="7">
        <v>4.2591448327514811E-2</v>
      </c>
    </row>
    <row r="243" spans="1:3" x14ac:dyDescent="0.25">
      <c r="A243">
        <v>13</v>
      </c>
      <c r="B243" s="4">
        <v>320.35148961182011</v>
      </c>
      <c r="C243" s="7">
        <v>4.1631181078096449E-2</v>
      </c>
    </row>
    <row r="244" spans="1:3" x14ac:dyDescent="0.25">
      <c r="A244">
        <v>14</v>
      </c>
      <c r="B244" s="4">
        <v>285.7132465095039</v>
      </c>
      <c r="C244" s="7">
        <v>3.7129778657377252E-2</v>
      </c>
    </row>
    <row r="245" spans="1:3" x14ac:dyDescent="0.25">
      <c r="A245">
        <v>15</v>
      </c>
      <c r="B245" s="4">
        <v>373.62066660173389</v>
      </c>
      <c r="C245" s="7">
        <v>4.8553760885156123E-2</v>
      </c>
    </row>
    <row r="246" spans="1:3" x14ac:dyDescent="0.25">
      <c r="A246">
        <v>16</v>
      </c>
      <c r="B246" s="4">
        <v>319.02308220810897</v>
      </c>
      <c r="C246" s="7">
        <v>4.1458548295160463E-2</v>
      </c>
    </row>
    <row r="247" spans="1:3" x14ac:dyDescent="0.25">
      <c r="A247">
        <v>17</v>
      </c>
      <c r="B247" s="4">
        <v>339.12384749375587</v>
      </c>
      <c r="C247" s="7">
        <v>4.4070737176907432E-2</v>
      </c>
    </row>
    <row r="248" spans="1:3" x14ac:dyDescent="0.25">
      <c r="A248">
        <v>18</v>
      </c>
      <c r="B248" s="4">
        <v>453.49867314475921</v>
      </c>
      <c r="C248" s="7">
        <v>5.8934283100237961E-2</v>
      </c>
    </row>
    <row r="249" spans="1:3" x14ac:dyDescent="0.25">
      <c r="A249">
        <v>19</v>
      </c>
      <c r="B249" s="4">
        <v>412.46742931098419</v>
      </c>
      <c r="C249" s="7">
        <v>5.3602080200313047E-2</v>
      </c>
    </row>
    <row r="250" spans="1:3" x14ac:dyDescent="0.25">
      <c r="A250">
        <v>20</v>
      </c>
      <c r="B250" s="4">
        <v>400.61135313176368</v>
      </c>
      <c r="C250" s="7">
        <v>5.2061327401283067E-2</v>
      </c>
    </row>
    <row r="251" spans="1:3" x14ac:dyDescent="0.25">
      <c r="A251">
        <v>21</v>
      </c>
      <c r="B251" s="4">
        <v>319.9103226486211</v>
      </c>
      <c r="C251" s="7">
        <v>4.157384935863772E-2</v>
      </c>
    </row>
    <row r="252" spans="1:3" x14ac:dyDescent="0.25">
      <c r="A252">
        <v>22</v>
      </c>
      <c r="B252" s="4">
        <v>309.84757641386079</v>
      </c>
      <c r="C252" s="7">
        <v>4.0266148210908202E-2</v>
      </c>
    </row>
    <row r="253" spans="1:3" x14ac:dyDescent="0.25">
      <c r="A253">
        <v>23</v>
      </c>
      <c r="B253" s="4">
        <v>306.57635313167282</v>
      </c>
      <c r="C253" s="7">
        <v>3.9841037377265201E-2</v>
      </c>
    </row>
    <row r="254" spans="1:3" x14ac:dyDescent="0.25">
      <c r="A254" s="10" t="s">
        <v>35</v>
      </c>
      <c r="B254" s="12">
        <f>SUBTOTAL(109,B230:B253)</f>
        <v>7694.9892199999977</v>
      </c>
      <c r="C254" s="13">
        <f>SUBTOTAL(109,C230:C253)</f>
        <v>1.0000000000000002</v>
      </c>
    </row>
  </sheetData>
  <mergeCells count="47">
    <mergeCell ref="A66:D66"/>
    <mergeCell ref="A2:H2"/>
    <mergeCell ref="A19:H19"/>
    <mergeCell ref="A36:M36"/>
    <mergeCell ref="A62:M62"/>
    <mergeCell ref="A65:D65"/>
    <mergeCell ref="E65:F65"/>
    <mergeCell ref="E66:F66"/>
    <mergeCell ref="E67:F67"/>
    <mergeCell ref="E68:F68"/>
    <mergeCell ref="E69:F69"/>
    <mergeCell ref="A76:B76"/>
    <mergeCell ref="A67:D67"/>
    <mergeCell ref="A68:D68"/>
    <mergeCell ref="A69:D69"/>
    <mergeCell ref="A70:D70"/>
    <mergeCell ref="A71:D71"/>
    <mergeCell ref="E70:F70"/>
    <mergeCell ref="E71:F71"/>
    <mergeCell ref="A73:B73"/>
    <mergeCell ref="A74:B74"/>
    <mergeCell ref="A75:B75"/>
    <mergeCell ref="C73:D73"/>
    <mergeCell ref="A83:B83"/>
    <mergeCell ref="A84:B84"/>
    <mergeCell ref="A85:B85"/>
    <mergeCell ref="C85:D85"/>
    <mergeCell ref="C74:D74"/>
    <mergeCell ref="C75:D75"/>
    <mergeCell ref="C76:D76"/>
    <mergeCell ref="C77:D77"/>
    <mergeCell ref="C78:D78"/>
    <mergeCell ref="C79:D79"/>
    <mergeCell ref="A77:B77"/>
    <mergeCell ref="A78:B78"/>
    <mergeCell ref="A79:B79"/>
    <mergeCell ref="A80:B80"/>
    <mergeCell ref="A81:B81"/>
    <mergeCell ref="A91:H91"/>
    <mergeCell ref="A130:H130"/>
    <mergeCell ref="A110:H110"/>
    <mergeCell ref="C80:D80"/>
    <mergeCell ref="C81:D81"/>
    <mergeCell ref="C82:D82"/>
    <mergeCell ref="C83:D83"/>
    <mergeCell ref="C84:D84"/>
    <mergeCell ref="A82:B82"/>
  </mergeCells>
  <conditionalFormatting sqref="B38:M61">
    <cfRule type="colorScale" priority="2">
      <colorScale>
        <cfvo type="min"/>
        <cfvo type="percentile" val="50"/>
        <cfvo type="max"/>
        <color rgb="FFEFF6FF"/>
        <color rgb="FF93C5FD"/>
        <color rgb="FF1D4ED8"/>
      </colorScale>
    </cfRule>
  </conditionalFormatting>
  <conditionalFormatting sqref="B153:M176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5" right="0.75" top="1" bottom="1" header="0.5" footer="0.5"/>
  <pageSetup paperSize="9" orientation="portrait" horizontalDpi="1200" verticalDpi="1200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Estudio FV</dc:title>
  <dc:creator>INARSE</dc:creator>
  <cp:lastModifiedBy>Usuario</cp:lastModifiedBy>
  <dcterms:created xsi:type="dcterms:W3CDTF">2026-05-13T13:02:33Z</dcterms:created>
  <dcterms:modified xsi:type="dcterms:W3CDTF">2026-05-14T08:20:51Z</dcterms:modified>
</cp:coreProperties>
</file>